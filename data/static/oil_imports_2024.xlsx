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it/Desktop/n50 weekly data project/"/>
    </mc:Choice>
  </mc:AlternateContent>
  <xr:revisionPtr revIDLastSave="0" documentId="13_ncr:1_{A3DB2E98-17DE-9F40-B0EB-21C5ACA048A5}" xr6:coauthVersionLast="47" xr6:coauthVersionMax="47" xr10:uidLastSave="{00000000-0000-0000-0000-000000000000}"/>
  <bookViews>
    <workbookView xWindow="17140" yWindow="780" windowWidth="17060" windowHeight="20120" activeTab="2" xr2:uid="{3A0A9393-8B2B-084C-A2A1-64AADC8B585C}"/>
  </bookViews>
  <sheets>
    <sheet name="crude" sheetId="1" r:id="rId1"/>
    <sheet name="refined" sheetId="2" r:id="rId2"/>
    <sheet name="2024 imports" sheetId="3" r:id="rId3"/>
    <sheet name="sourc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F2" i="3"/>
  <c r="G2" i="3" s="1"/>
  <c r="F4" i="3"/>
  <c r="G4" i="3" s="1"/>
  <c r="F9" i="3"/>
  <c r="G9" i="3" s="1"/>
  <c r="F18" i="3"/>
  <c r="G18" i="3" s="1"/>
  <c r="F10" i="3"/>
  <c r="G10" i="3" s="1"/>
  <c r="F3" i="3"/>
  <c r="G3" i="3" s="1"/>
  <c r="F20" i="3"/>
  <c r="G20" i="3" s="1"/>
  <c r="F13" i="3"/>
  <c r="G13" i="3" s="1"/>
  <c r="F7" i="3"/>
  <c r="G7" i="3" s="1"/>
  <c r="F11" i="3"/>
  <c r="G11" i="3" s="1"/>
  <c r="F12" i="3"/>
  <c r="G12" i="3" s="1"/>
  <c r="F8" i="3"/>
  <c r="G8" i="3" s="1"/>
  <c r="F14" i="3"/>
  <c r="G14" i="3" s="1"/>
  <c r="F22" i="3"/>
  <c r="G22" i="3" s="1"/>
  <c r="F16" i="3"/>
  <c r="G16" i="3" s="1"/>
  <c r="F17" i="3"/>
  <c r="G17" i="3" s="1"/>
  <c r="F24" i="3"/>
  <c r="G24" i="3" s="1"/>
  <c r="F15" i="3"/>
  <c r="G15" i="3" s="1"/>
  <c r="F27" i="3"/>
  <c r="G27" i="3" s="1"/>
  <c r="F21" i="3"/>
  <c r="G21" i="3" s="1"/>
  <c r="F36" i="3"/>
  <c r="G36" i="3" s="1"/>
  <c r="F23" i="3"/>
  <c r="G23" i="3" s="1"/>
  <c r="F5" i="3"/>
  <c r="G5" i="3" s="1"/>
  <c r="F25" i="3"/>
  <c r="G25" i="3" s="1"/>
  <c r="F29" i="3"/>
  <c r="G29" i="3" s="1"/>
  <c r="F19" i="3"/>
  <c r="G19" i="3" s="1"/>
  <c r="F46" i="3"/>
  <c r="G46" i="3" s="1"/>
  <c r="F28" i="3"/>
  <c r="G28" i="3" s="1"/>
  <c r="F41" i="3"/>
  <c r="G41" i="3" s="1"/>
  <c r="F31" i="3"/>
  <c r="G31" i="3" s="1"/>
  <c r="F26" i="3"/>
  <c r="G26" i="3" s="1"/>
  <c r="F40" i="3"/>
  <c r="G40" i="3" s="1"/>
  <c r="F32" i="3"/>
  <c r="G32" i="3" s="1"/>
  <c r="F35" i="3"/>
  <c r="G35" i="3" s="1"/>
  <c r="F52" i="3"/>
  <c r="G52" i="3" s="1"/>
  <c r="F51" i="3"/>
  <c r="G51" i="3" s="1"/>
  <c r="F38" i="3"/>
  <c r="G38" i="3" s="1"/>
  <c r="F39" i="3"/>
  <c r="G39" i="3" s="1"/>
  <c r="F60" i="3"/>
  <c r="G60" i="3" s="1"/>
  <c r="F58" i="3"/>
  <c r="G58" i="3" s="1"/>
  <c r="F61" i="3"/>
  <c r="G61" i="3" s="1"/>
  <c r="F6" i="3"/>
  <c r="G6" i="3" s="1"/>
  <c r="F62" i="3"/>
  <c r="G62" i="3" s="1"/>
  <c r="F45" i="3"/>
  <c r="G45" i="3" s="1"/>
  <c r="F34" i="3"/>
  <c r="G34" i="3" s="1"/>
  <c r="F42" i="3"/>
  <c r="G42" i="3" s="1"/>
  <c r="F48" i="3"/>
  <c r="G48" i="3" s="1"/>
  <c r="F49" i="3"/>
  <c r="G49" i="3" s="1"/>
  <c r="F50" i="3"/>
  <c r="G50" i="3" s="1"/>
  <c r="F30" i="3"/>
  <c r="G30" i="3" s="1"/>
  <c r="F71" i="3"/>
  <c r="G71" i="3" s="1"/>
  <c r="F53" i="3"/>
  <c r="G53" i="3" s="1"/>
  <c r="F54" i="3"/>
  <c r="G54" i="3" s="1"/>
  <c r="F70" i="3"/>
  <c r="G70" i="3" s="1"/>
  <c r="F57" i="3"/>
  <c r="G57" i="3" s="1"/>
  <c r="F63" i="3"/>
  <c r="G63" i="3" s="1"/>
  <c r="F84" i="3"/>
  <c r="G84" i="3" s="1"/>
  <c r="F59" i="3"/>
  <c r="G59" i="3" s="1"/>
  <c r="F76" i="3"/>
  <c r="G76" i="3" s="1"/>
  <c r="F43" i="3"/>
  <c r="G43" i="3" s="1"/>
  <c r="F83" i="3"/>
  <c r="G83" i="3" s="1"/>
  <c r="F80" i="3"/>
  <c r="G80" i="3" s="1"/>
  <c r="F79" i="3"/>
  <c r="G79" i="3" s="1"/>
  <c r="F85" i="3"/>
  <c r="G85" i="3" s="1"/>
  <c r="F56" i="3"/>
  <c r="G56" i="3" s="1"/>
  <c r="F90" i="3"/>
  <c r="G90" i="3" s="1"/>
  <c r="F68" i="3"/>
  <c r="G68" i="3" s="1"/>
  <c r="F69" i="3"/>
  <c r="G69" i="3" s="1"/>
  <c r="F33" i="3"/>
  <c r="G33" i="3" s="1"/>
  <c r="F64" i="3"/>
  <c r="G64" i="3" s="1"/>
  <c r="F66" i="3"/>
  <c r="G66" i="3" s="1"/>
  <c r="F73" i="3"/>
  <c r="G73" i="3" s="1"/>
  <c r="F74" i="3"/>
  <c r="G74" i="3" s="1"/>
  <c r="F55" i="3"/>
  <c r="G55" i="3" s="1"/>
  <c r="F86" i="3"/>
  <c r="G86" i="3" s="1"/>
  <c r="F77" i="3"/>
  <c r="G77" i="3" s="1"/>
  <c r="F78" i="3"/>
  <c r="G78" i="3" s="1"/>
  <c r="F91" i="3"/>
  <c r="G91" i="3" s="1"/>
  <c r="F93" i="3"/>
  <c r="G93" i="3" s="1"/>
  <c r="F81" i="3"/>
  <c r="G81" i="3" s="1"/>
  <c r="F82" i="3"/>
  <c r="G82" i="3" s="1"/>
  <c r="F95" i="3"/>
  <c r="G95" i="3" s="1"/>
  <c r="F44" i="3"/>
  <c r="G44" i="3" s="1"/>
  <c r="F65" i="3"/>
  <c r="G65" i="3" s="1"/>
  <c r="F89" i="3"/>
  <c r="G89" i="3" s="1"/>
  <c r="F87" i="3"/>
  <c r="G87" i="3" s="1"/>
  <c r="F88" i="3"/>
  <c r="G88" i="3" s="1"/>
  <c r="F67" i="3"/>
  <c r="G67" i="3" s="1"/>
  <c r="F96" i="3"/>
  <c r="G96" i="3" s="1"/>
  <c r="F75" i="3"/>
  <c r="G75" i="3" s="1"/>
  <c r="F92" i="3"/>
  <c r="G92" i="3" s="1"/>
  <c r="F47" i="3"/>
  <c r="G47" i="3" s="1"/>
  <c r="F94" i="3"/>
  <c r="G94" i="3" s="1"/>
  <c r="F99" i="3"/>
  <c r="G99" i="3" s="1"/>
  <c r="F37" i="3"/>
  <c r="G37" i="3" s="1"/>
  <c r="F97" i="3"/>
  <c r="G97" i="3" s="1"/>
  <c r="F98" i="3"/>
  <c r="G98" i="3" s="1"/>
  <c r="F104" i="3"/>
  <c r="G104" i="3" s="1"/>
  <c r="F100" i="3"/>
  <c r="G100" i="3" s="1"/>
  <c r="F101" i="3"/>
  <c r="G101" i="3" s="1"/>
  <c r="F102" i="3"/>
  <c r="G102" i="3" s="1"/>
  <c r="F103" i="3"/>
  <c r="G103" i="3" s="1"/>
  <c r="F72" i="3"/>
  <c r="G72" i="3" s="1"/>
  <c r="F105" i="3"/>
  <c r="G105" i="3" s="1"/>
  <c r="F106" i="3"/>
  <c r="G106" i="3" s="1"/>
  <c r="F108" i="3"/>
  <c r="G108" i="3" s="1"/>
  <c r="F107" i="3"/>
  <c r="G107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C2" i="3"/>
  <c r="C4" i="3"/>
  <c r="C9" i="3"/>
  <c r="C18" i="3"/>
  <c r="C10" i="3"/>
  <c r="D10" i="3" s="1"/>
  <c r="C3" i="3"/>
  <c r="C20" i="3"/>
  <c r="D20" i="3" s="1"/>
  <c r="I20" i="3" s="1"/>
  <c r="C13" i="3"/>
  <c r="D13" i="3" s="1"/>
  <c r="C7" i="3"/>
  <c r="D7" i="3" s="1"/>
  <c r="I7" i="3" s="1"/>
  <c r="C11" i="3"/>
  <c r="C12" i="3"/>
  <c r="C8" i="3"/>
  <c r="C14" i="3"/>
  <c r="C22" i="3"/>
  <c r="C16" i="3"/>
  <c r="D16" i="3" s="1"/>
  <c r="C17" i="3"/>
  <c r="C24" i="3"/>
  <c r="D24" i="3" s="1"/>
  <c r="I24" i="3" s="1"/>
  <c r="C15" i="3"/>
  <c r="D15" i="3" s="1"/>
  <c r="C27" i="3"/>
  <c r="D27" i="3" s="1"/>
  <c r="I27" i="3" s="1"/>
  <c r="C21" i="3"/>
  <c r="C36" i="3"/>
  <c r="C23" i="3"/>
  <c r="C5" i="3"/>
  <c r="C25" i="3"/>
  <c r="C29" i="3"/>
  <c r="D29" i="3" s="1"/>
  <c r="C19" i="3"/>
  <c r="C46" i="3"/>
  <c r="D46" i="3" s="1"/>
  <c r="I46" i="3" s="1"/>
  <c r="C28" i="3"/>
  <c r="D28" i="3" s="1"/>
  <c r="I28" i="3" s="1"/>
  <c r="C41" i="3"/>
  <c r="D41" i="3" s="1"/>
  <c r="I41" i="3" s="1"/>
  <c r="C31" i="3"/>
  <c r="C26" i="3"/>
  <c r="C40" i="3"/>
  <c r="D40" i="3" s="1"/>
  <c r="I40" i="3" s="1"/>
  <c r="C32" i="3"/>
  <c r="C35" i="3"/>
  <c r="C52" i="3"/>
  <c r="D52" i="3" s="1"/>
  <c r="C51" i="3"/>
  <c r="C38" i="3"/>
  <c r="D38" i="3" s="1"/>
  <c r="I38" i="3" s="1"/>
  <c r="C39" i="3"/>
  <c r="D39" i="3" s="1"/>
  <c r="I39" i="3" s="1"/>
  <c r="C60" i="3"/>
  <c r="D60" i="3" s="1"/>
  <c r="I60" i="3" s="1"/>
  <c r="C58" i="3"/>
  <c r="C61" i="3"/>
  <c r="C6" i="3"/>
  <c r="D6" i="3" s="1"/>
  <c r="C62" i="3"/>
  <c r="C45" i="3"/>
  <c r="C34" i="3"/>
  <c r="D34" i="3" s="1"/>
  <c r="C42" i="3"/>
  <c r="C48" i="3"/>
  <c r="D48" i="3" s="1"/>
  <c r="I48" i="3" s="1"/>
  <c r="C49" i="3"/>
  <c r="D49" i="3" s="1"/>
  <c r="I49" i="3" s="1"/>
  <c r="C50" i="3"/>
  <c r="C30" i="3"/>
  <c r="C71" i="3"/>
  <c r="C53" i="3"/>
  <c r="D53" i="3" s="1"/>
  <c r="C54" i="3"/>
  <c r="C70" i="3"/>
  <c r="C57" i="3"/>
  <c r="D57" i="3" s="1"/>
  <c r="C63" i="3"/>
  <c r="C84" i="3"/>
  <c r="D84" i="3" s="1"/>
  <c r="I84" i="3" s="1"/>
  <c r="C59" i="3"/>
  <c r="D59" i="3" s="1"/>
  <c r="I59" i="3" s="1"/>
  <c r="C76" i="3"/>
  <c r="C43" i="3"/>
  <c r="C83" i="3"/>
  <c r="C80" i="3"/>
  <c r="D80" i="3" s="1"/>
  <c r="I80" i="3" s="1"/>
  <c r="C79" i="3"/>
  <c r="C85" i="3"/>
  <c r="C56" i="3"/>
  <c r="D56" i="3" s="1"/>
  <c r="C90" i="3"/>
  <c r="C68" i="3"/>
  <c r="D68" i="3" s="1"/>
  <c r="I68" i="3" s="1"/>
  <c r="C69" i="3"/>
  <c r="D69" i="3" s="1"/>
  <c r="I69" i="3" s="1"/>
  <c r="C33" i="3"/>
  <c r="C64" i="3"/>
  <c r="C66" i="3"/>
  <c r="C73" i="3"/>
  <c r="D73" i="3" s="1"/>
  <c r="C74" i="3"/>
  <c r="C55" i="3"/>
  <c r="C86" i="3"/>
  <c r="D86" i="3" s="1"/>
  <c r="C77" i="3"/>
  <c r="C78" i="3"/>
  <c r="D78" i="3" s="1"/>
  <c r="I78" i="3" s="1"/>
  <c r="C91" i="3"/>
  <c r="D91" i="3" s="1"/>
  <c r="I91" i="3" s="1"/>
  <c r="C93" i="3"/>
  <c r="C81" i="3"/>
  <c r="C82" i="3"/>
  <c r="C95" i="3"/>
  <c r="D95" i="3" s="1"/>
  <c r="C44" i="3"/>
  <c r="D44" i="3" s="1"/>
  <c r="I44" i="3" s="1"/>
  <c r="C65" i="3"/>
  <c r="C89" i="3"/>
  <c r="D89" i="3" s="1"/>
  <c r="C87" i="3"/>
  <c r="C88" i="3"/>
  <c r="D88" i="3" s="1"/>
  <c r="I88" i="3" s="1"/>
  <c r="C67" i="3"/>
  <c r="D67" i="3" s="1"/>
  <c r="I67" i="3" s="1"/>
  <c r="C96" i="3"/>
  <c r="C75" i="3"/>
  <c r="C92" i="3"/>
  <c r="C47" i="3"/>
  <c r="D47" i="3" s="1"/>
  <c r="C94" i="3"/>
  <c r="D94" i="3" s="1"/>
  <c r="I94" i="3" s="1"/>
  <c r="C99" i="3"/>
  <c r="C37" i="3"/>
  <c r="D37" i="3" s="1"/>
  <c r="C97" i="3"/>
  <c r="C98" i="3"/>
  <c r="D98" i="3" s="1"/>
  <c r="I98" i="3" s="1"/>
  <c r="C104" i="3"/>
  <c r="D104" i="3" s="1"/>
  <c r="C100" i="3"/>
  <c r="D100" i="3" s="1"/>
  <c r="I100" i="3" s="1"/>
  <c r="C101" i="3"/>
  <c r="C102" i="3"/>
  <c r="C103" i="3"/>
  <c r="D103" i="3" s="1"/>
  <c r="C72" i="3"/>
  <c r="C105" i="3"/>
  <c r="C106" i="3"/>
  <c r="D106" i="3" s="1"/>
  <c r="I106" i="3" s="1"/>
  <c r="C108" i="3"/>
  <c r="C107" i="3"/>
  <c r="D107" i="3" s="1"/>
  <c r="I107" i="3" s="1"/>
  <c r="C109" i="3"/>
  <c r="D109" i="3" s="1"/>
  <c r="I109" i="3" s="1"/>
  <c r="C110" i="3"/>
  <c r="C111" i="3"/>
  <c r="C112" i="3"/>
  <c r="C113" i="3"/>
  <c r="C114" i="3"/>
  <c r="D114" i="3" s="1"/>
  <c r="I114" i="3" s="1"/>
  <c r="C115" i="3"/>
  <c r="C116" i="3"/>
  <c r="D116" i="3" s="1"/>
  <c r="C117" i="3"/>
  <c r="C118" i="3"/>
  <c r="D118" i="3" s="1"/>
  <c r="I118" i="3" s="1"/>
  <c r="C119" i="3"/>
  <c r="D119" i="3" s="1"/>
  <c r="I119" i="3" s="1"/>
  <c r="I37" i="3" l="1"/>
  <c r="I89" i="3"/>
  <c r="I86" i="3"/>
  <c r="I56" i="3"/>
  <c r="I57" i="3"/>
  <c r="I34" i="3"/>
  <c r="I52" i="3"/>
  <c r="I29" i="3"/>
  <c r="I16" i="3"/>
  <c r="I10" i="3"/>
  <c r="I116" i="3"/>
  <c r="I47" i="3"/>
  <c r="I6" i="3"/>
  <c r="I95" i="3"/>
  <c r="I15" i="3"/>
  <c r="I104" i="3"/>
  <c r="I103" i="3"/>
  <c r="I73" i="3"/>
  <c r="I53" i="3"/>
  <c r="I13" i="3"/>
  <c r="D111" i="3"/>
  <c r="D101" i="3"/>
  <c r="D75" i="3"/>
  <c r="D81" i="3"/>
  <c r="D64" i="3"/>
  <c r="D43" i="3"/>
  <c r="D30" i="3"/>
  <c r="D58" i="3"/>
  <c r="D31" i="3"/>
  <c r="D21" i="3"/>
  <c r="D11" i="3"/>
  <c r="D110" i="3"/>
  <c r="D96" i="3"/>
  <c r="D93" i="3"/>
  <c r="D33" i="3"/>
  <c r="D76" i="3"/>
  <c r="D50" i="3"/>
  <c r="D117" i="3"/>
  <c r="D108" i="3"/>
  <c r="D97" i="3"/>
  <c r="D87" i="3"/>
  <c r="D77" i="3"/>
  <c r="D90" i="3"/>
  <c r="D63" i="3"/>
  <c r="D42" i="3"/>
  <c r="D51" i="3"/>
  <c r="D19" i="3"/>
  <c r="D17" i="3"/>
  <c r="D3" i="3"/>
  <c r="D115" i="3"/>
  <c r="D105" i="3"/>
  <c r="D99" i="3"/>
  <c r="D65" i="3"/>
  <c r="D55" i="3"/>
  <c r="D85" i="3"/>
  <c r="D70" i="3"/>
  <c r="D45" i="3"/>
  <c r="D35" i="3"/>
  <c r="D25" i="3"/>
  <c r="D22" i="3"/>
  <c r="D18" i="3"/>
  <c r="D72" i="3"/>
  <c r="D74" i="3"/>
  <c r="D79" i="3"/>
  <c r="D54" i="3"/>
  <c r="D62" i="3"/>
  <c r="D32" i="3"/>
  <c r="D5" i="3"/>
  <c r="D14" i="3"/>
  <c r="D9" i="3"/>
  <c r="D113" i="3"/>
  <c r="D23" i="3"/>
  <c r="D8" i="3"/>
  <c r="D4" i="3"/>
  <c r="D112" i="3"/>
  <c r="D102" i="3"/>
  <c r="D92" i="3"/>
  <c r="D82" i="3"/>
  <c r="D66" i="3"/>
  <c r="D83" i="3"/>
  <c r="D71" i="3"/>
  <c r="D61" i="3"/>
  <c r="D26" i="3"/>
  <c r="D36" i="3"/>
  <c r="D12" i="3"/>
  <c r="D2" i="3"/>
  <c r="I17" i="3" l="1"/>
  <c r="I19" i="3"/>
  <c r="I66" i="3"/>
  <c r="I14" i="3"/>
  <c r="I25" i="3"/>
  <c r="I3" i="3"/>
  <c r="I108" i="3"/>
  <c r="I31" i="3"/>
  <c r="I5" i="3"/>
  <c r="I92" i="3"/>
  <c r="I75" i="3"/>
  <c r="I117" i="3"/>
  <c r="I50" i="3"/>
  <c r="I2" i="3"/>
  <c r="I43" i="3"/>
  <c r="I54" i="3"/>
  <c r="I33" i="3"/>
  <c r="I36" i="3"/>
  <c r="I63" i="3"/>
  <c r="I72" i="3"/>
  <c r="I101" i="3"/>
  <c r="I82" i="3"/>
  <c r="I58" i="3"/>
  <c r="I45" i="3"/>
  <c r="I30" i="3"/>
  <c r="I102" i="3"/>
  <c r="I70" i="3"/>
  <c r="I76" i="3"/>
  <c r="I112" i="3"/>
  <c r="I42" i="3"/>
  <c r="I79" i="3"/>
  <c r="I81" i="3"/>
  <c r="I8" i="3"/>
  <c r="I65" i="3"/>
  <c r="I96" i="3"/>
  <c r="I61" i="3"/>
  <c r="I99" i="3"/>
  <c r="I110" i="3"/>
  <c r="I18" i="3"/>
  <c r="I87" i="3"/>
  <c r="I111" i="3"/>
  <c r="I35" i="3"/>
  <c r="I32" i="3"/>
  <c r="I62" i="3"/>
  <c r="I51" i="3"/>
  <c r="I12" i="3"/>
  <c r="I85" i="3"/>
  <c r="I64" i="3"/>
  <c r="I4" i="3"/>
  <c r="I55" i="3"/>
  <c r="I93" i="3"/>
  <c r="I26" i="3"/>
  <c r="I74" i="3"/>
  <c r="I90" i="3"/>
  <c r="I23" i="3"/>
  <c r="I77" i="3"/>
  <c r="I71" i="3"/>
  <c r="I113" i="3"/>
  <c r="I105" i="3"/>
  <c r="I11" i="3"/>
  <c r="I83" i="3"/>
  <c r="I9" i="3"/>
  <c r="I22" i="3"/>
  <c r="I115" i="3"/>
  <c r="I97" i="3"/>
  <c r="I21" i="3"/>
</calcChain>
</file>

<file path=xl/sharedStrings.xml><?xml version="1.0" encoding="utf-8"?>
<sst xmlns="http://schemas.openxmlformats.org/spreadsheetml/2006/main" count="2373" uniqueCount="618">
  <si>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</si>
  <si>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</si>
  <si>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</si>
  <si>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</si>
  <si>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</si>
  <si>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</si>
  <si>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</si>
  <si>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</si>
  <si>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</si>
  <si>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</si>
  <si>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Import</t>
  </si>
  <si>
    <t>270900</t>
  </si>
  <si>
    <t>Petroleum oils and oils obtained from bituminou</t>
  </si>
  <si>
    <t>2024</t>
  </si>
  <si>
    <t xml:space="preserve"> World</t>
  </si>
  <si>
    <t xml:space="preserve">      325186599.33</t>
  </si>
  <si>
    <t>5.53232e+011</t>
  </si>
  <si>
    <t>Kg</t>
  </si>
  <si>
    <t>European Union</t>
  </si>
  <si>
    <t xml:space="preserve">      283461601.82</t>
  </si>
  <si>
    <t/>
  </si>
  <si>
    <t>United States</t>
  </si>
  <si>
    <t xml:space="preserve">      174423623.90</t>
  </si>
  <si>
    <t>3.75657e+011</t>
  </si>
  <si>
    <t>India</t>
  </si>
  <si>
    <t xml:space="preserve">      141532322.25</t>
  </si>
  <si>
    <t>2.4175e+011</t>
  </si>
  <si>
    <t>Korea, Rep.</t>
  </si>
  <si>
    <t xml:space="preserve">       85334419.38</t>
  </si>
  <si>
    <t>1.3718e+011</t>
  </si>
  <si>
    <t>Japan</t>
  </si>
  <si>
    <t xml:space="preserve">       71811869.89</t>
  </si>
  <si>
    <t>1.14959e+011</t>
  </si>
  <si>
    <t>Netherlands</t>
  </si>
  <si>
    <t xml:space="preserve">       49020328.70</t>
  </si>
  <si>
    <t>7.92179e+010</t>
  </si>
  <si>
    <t>Germany</t>
  </si>
  <si>
    <t xml:space="preserve">       46904080.35</t>
  </si>
  <si>
    <t>7.8537e+010</t>
  </si>
  <si>
    <t>Spain</t>
  </si>
  <si>
    <t xml:space="preserve">       36623430.24</t>
  </si>
  <si>
    <t>Thailand</t>
  </si>
  <si>
    <t xml:space="preserve">       33495252.02</t>
  </si>
  <si>
    <t>1.77762e+011</t>
  </si>
  <si>
    <t>Italy</t>
  </si>
  <si>
    <t xml:space="preserve">       32497501.36</t>
  </si>
  <si>
    <t>5.45449e+010</t>
  </si>
  <si>
    <t>United Kingdom</t>
  </si>
  <si>
    <t xml:space="preserve">       30768618.16</t>
  </si>
  <si>
    <t>France</t>
  </si>
  <si>
    <t xml:space="preserve">       29685193.78</t>
  </si>
  <si>
    <t>4.70201e+010</t>
  </si>
  <si>
    <t>Singapore</t>
  </si>
  <si>
    <t xml:space="preserve">       27245983.56</t>
  </si>
  <si>
    <t>4.35052e+010</t>
  </si>
  <si>
    <t>Other Asia, nes</t>
  </si>
  <si>
    <t xml:space="preserve">       23874236.65</t>
  </si>
  <si>
    <t>4.53301e+010</t>
  </si>
  <si>
    <t>Belgium</t>
  </si>
  <si>
    <t xml:space="preserve">       21915213.58</t>
  </si>
  <si>
    <t>Poland</t>
  </si>
  <si>
    <t xml:space="preserve">       15192763.30</t>
  </si>
  <si>
    <t>2.49771e+010</t>
  </si>
  <si>
    <t>Greece</t>
  </si>
  <si>
    <t xml:space="preserve">       14772480.14</t>
  </si>
  <si>
    <t>Canada</t>
  </si>
  <si>
    <t xml:space="preserve">       14639581.77</t>
  </si>
  <si>
    <t>2.39324e+010</t>
  </si>
  <si>
    <t>Malaysia</t>
  </si>
  <si>
    <t xml:space="preserve">       13880443.83</t>
  </si>
  <si>
    <t>2.21227e+010</t>
  </si>
  <si>
    <t>Sweden</t>
  </si>
  <si>
    <t xml:space="preserve">       11262589.79</t>
  </si>
  <si>
    <t>1.77401e+010</t>
  </si>
  <si>
    <t>Indonesia</t>
  </si>
  <si>
    <t xml:space="preserve">       10352976.05</t>
  </si>
  <si>
    <t>Brazil</t>
  </si>
  <si>
    <t xml:space="preserve">        8943296.86</t>
  </si>
  <si>
    <t>Israel</t>
  </si>
  <si>
    <t xml:space="preserve">        7038699.00</t>
  </si>
  <si>
    <t>1.15046e+010</t>
  </si>
  <si>
    <t>Portugal</t>
  </si>
  <si>
    <t xml:space="preserve">        6414373.19</t>
  </si>
  <si>
    <t>1.06874e+010</t>
  </si>
  <si>
    <t>Pakistan</t>
  </si>
  <si>
    <t xml:space="preserve">        5608000.77</t>
  </si>
  <si>
    <t>9.74825e+009</t>
  </si>
  <si>
    <t>Lithuania</t>
  </si>
  <si>
    <t xml:space="preserve">        5465581.49</t>
  </si>
  <si>
    <t>8.80471e+009</t>
  </si>
  <si>
    <t>Australia</t>
  </si>
  <si>
    <t xml:space="preserve">        5378538.28</t>
  </si>
  <si>
    <t>9.20158e+009</t>
  </si>
  <si>
    <t>Finland</t>
  </si>
  <si>
    <t xml:space="preserve">        5276117.70</t>
  </si>
  <si>
    <t>8.62371e+009</t>
  </si>
  <si>
    <t>South Africa</t>
  </si>
  <si>
    <t xml:space="preserve">        5170738.93</t>
  </si>
  <si>
    <t>8.18153e+009</t>
  </si>
  <si>
    <t>Chile</t>
  </si>
  <si>
    <t xml:space="preserve">        5152073.23</t>
  </si>
  <si>
    <t>8.89507e+009</t>
  </si>
  <si>
    <t>Romania</t>
  </si>
  <si>
    <t xml:space="preserve">        4972493.45</t>
  </si>
  <si>
    <t>Austria</t>
  </si>
  <si>
    <t xml:space="preserve">        4824818.48</t>
  </si>
  <si>
    <t>7.6688e+009</t>
  </si>
  <si>
    <t>Brunei</t>
  </si>
  <si>
    <t xml:space="preserve">        4127827.72</t>
  </si>
  <si>
    <t>6.48517e+009</t>
  </si>
  <si>
    <t>Oman</t>
  </si>
  <si>
    <t xml:space="preserve">        4054910.23</t>
  </si>
  <si>
    <t>Bulgaria</t>
  </si>
  <si>
    <t xml:space="preserve">        4035630.94</t>
  </si>
  <si>
    <t>6.63003e+009</t>
  </si>
  <si>
    <t>Czech Republic</t>
  </si>
  <si>
    <t xml:space="preserve">        4029827.38</t>
  </si>
  <si>
    <t>Peru</t>
  </si>
  <si>
    <t xml:space="preserve">        3925408.30</t>
  </si>
  <si>
    <t>Philippines</t>
  </si>
  <si>
    <t xml:space="preserve">        3710128.61</t>
  </si>
  <si>
    <t>6.48342e+009</t>
  </si>
  <si>
    <t>Hungary</t>
  </si>
  <si>
    <t xml:space="preserve">        2928770.41</t>
  </si>
  <si>
    <t>5.58235e+009</t>
  </si>
  <si>
    <t>Denmark</t>
  </si>
  <si>
    <t xml:space="preserve">        2840249.37</t>
  </si>
  <si>
    <t>4.43689e+009</t>
  </si>
  <si>
    <t>Slovak Republic</t>
  </si>
  <si>
    <t xml:space="preserve">        2528141.50</t>
  </si>
  <si>
    <t>4.8257e+009</t>
  </si>
  <si>
    <t>Cote d'Ivoire</t>
  </si>
  <si>
    <t xml:space="preserve">        2427793.27</t>
  </si>
  <si>
    <t>3.71033e+009</t>
  </si>
  <si>
    <t>Qatar</t>
  </si>
  <si>
    <t xml:space="preserve">        1783427.37</t>
  </si>
  <si>
    <t>2.87257e+009</t>
  </si>
  <si>
    <t>Croatia</t>
  </si>
  <si>
    <t xml:space="preserve">        1719311.48</t>
  </si>
  <si>
    <t>Serbia, FR(Serbia/Montenegro)</t>
  </si>
  <si>
    <t xml:space="preserve">        1620298.58</t>
  </si>
  <si>
    <t>2.63673e+009</t>
  </si>
  <si>
    <t>Switzerland</t>
  </si>
  <si>
    <t xml:space="preserve">        1550960.95</t>
  </si>
  <si>
    <t>2.58672e+009</t>
  </si>
  <si>
    <t>Ireland</t>
  </si>
  <si>
    <t xml:space="preserve">        1246881.11</t>
  </si>
  <si>
    <t>Jordan</t>
  </si>
  <si>
    <t xml:space="preserve">        1067255.04</t>
  </si>
  <si>
    <t>1.81594e+009</t>
  </si>
  <si>
    <t>Azerbaijan</t>
  </si>
  <si>
    <t xml:space="preserve">        1020192.98</t>
  </si>
  <si>
    <t>1.86894e+009</t>
  </si>
  <si>
    <t>Uruguay</t>
  </si>
  <si>
    <t xml:space="preserve">         918734.45</t>
  </si>
  <si>
    <t>1.48196e+009</t>
  </si>
  <si>
    <t>Egypt, Arab Rep.</t>
  </si>
  <si>
    <t xml:space="preserve">         825180.00</t>
  </si>
  <si>
    <t>1.31369e+009</t>
  </si>
  <si>
    <t>Senegal</t>
  </si>
  <si>
    <t xml:space="preserve">         810027.19</t>
  </si>
  <si>
    <t>1.17533e+009</t>
  </si>
  <si>
    <t>Dominican Republic</t>
  </si>
  <si>
    <t xml:space="preserve">         801988.41</t>
  </si>
  <si>
    <t>1.2392e+009</t>
  </si>
  <si>
    <t>Sri Lanka</t>
  </si>
  <si>
    <t xml:space="preserve">         766353.17</t>
  </si>
  <si>
    <t>1.51943e+009</t>
  </si>
  <si>
    <t>Norway</t>
  </si>
  <si>
    <t xml:space="preserve">         719775.45</t>
  </si>
  <si>
    <t>1.13818e+009</t>
  </si>
  <si>
    <t>Tunisia</t>
  </si>
  <si>
    <t xml:space="preserve">         630882.15</t>
  </si>
  <si>
    <t>1.03116e+009</t>
  </si>
  <si>
    <t>Nicaragua</t>
  </si>
  <si>
    <t xml:space="preserve">         519278.04</t>
  </si>
  <si>
    <t>6.84475e+008</t>
  </si>
  <si>
    <t>Jamaica</t>
  </si>
  <si>
    <t xml:space="preserve">         511577.97</t>
  </si>
  <si>
    <t>8.72449e+008</t>
  </si>
  <si>
    <t>Colombia</t>
  </si>
  <si>
    <t xml:space="preserve">         460003.58</t>
  </si>
  <si>
    <t>7.3629e+008</t>
  </si>
  <si>
    <t>Uzbekistan</t>
  </si>
  <si>
    <t xml:space="preserve">         366900.29</t>
  </si>
  <si>
    <t>6.19564e+008</t>
  </si>
  <si>
    <t>Bolivia</t>
  </si>
  <si>
    <t xml:space="preserve">         105973.11</t>
  </si>
  <si>
    <t>1.73242e+008</t>
  </si>
  <si>
    <t>Georgia</t>
  </si>
  <si>
    <t xml:space="preserve">           5845.50</t>
  </si>
  <si>
    <t>Zimbabwe</t>
  </si>
  <si>
    <t xml:space="preserve">            790.03</t>
  </si>
  <si>
    <t>1.38908e+006</t>
  </si>
  <si>
    <t>Zambia</t>
  </si>
  <si>
    <t xml:space="preserve">            675.25</t>
  </si>
  <si>
    <t>899796</t>
  </si>
  <si>
    <t>Guatemala</t>
  </si>
  <si>
    <t xml:space="preserve">            422.74</t>
  </si>
  <si>
    <t>95093</t>
  </si>
  <si>
    <t>Armenia</t>
  </si>
  <si>
    <t xml:space="preserve">            285.13</t>
  </si>
  <si>
    <t>421910</t>
  </si>
  <si>
    <t>Belize</t>
  </si>
  <si>
    <t xml:space="preserve">            240.01</t>
  </si>
  <si>
    <t>402128</t>
  </si>
  <si>
    <t>Kyrgyz Republic</t>
  </si>
  <si>
    <t xml:space="preserve">            166.43</t>
  </si>
  <si>
    <t>462298</t>
  </si>
  <si>
    <t>Mozambique</t>
  </si>
  <si>
    <t xml:space="preserve">            138.49</t>
  </si>
  <si>
    <t>New Zealand</t>
  </si>
  <si>
    <t xml:space="preserve">             84.85</t>
  </si>
  <si>
    <t>24000</t>
  </si>
  <si>
    <t>Fiji</t>
  </si>
  <si>
    <t xml:space="preserve">             60.54</t>
  </si>
  <si>
    <t>47451.1</t>
  </si>
  <si>
    <t>Uganda</t>
  </si>
  <si>
    <t xml:space="preserve">             49.99</t>
  </si>
  <si>
    <t>1433</t>
  </si>
  <si>
    <t>Costa Rica</t>
  </si>
  <si>
    <t xml:space="preserve">             49.40</t>
  </si>
  <si>
    <t>El Salvador</t>
  </si>
  <si>
    <t xml:space="preserve">             45.29</t>
  </si>
  <si>
    <t>32616.8</t>
  </si>
  <si>
    <t>Lesotho</t>
  </si>
  <si>
    <t xml:space="preserve">             19.45</t>
  </si>
  <si>
    <t>18171.9</t>
  </si>
  <si>
    <t>Burkina Faso</t>
  </si>
  <si>
    <t xml:space="preserve">             15.63</t>
  </si>
  <si>
    <t>24503</t>
  </si>
  <si>
    <t>Ukraine</t>
  </si>
  <si>
    <t xml:space="preserve">             14.90</t>
  </si>
  <si>
    <t>24371</t>
  </si>
  <si>
    <t>Luxembourg</t>
  </si>
  <si>
    <t xml:space="preserve">             13.76</t>
  </si>
  <si>
    <t>2221.8</t>
  </si>
  <si>
    <t>Tanzania</t>
  </si>
  <si>
    <t xml:space="preserve">             11.90</t>
  </si>
  <si>
    <t>Namibia</t>
  </si>
  <si>
    <t xml:space="preserve">             10.89</t>
  </si>
  <si>
    <t>Ecuador</t>
  </si>
  <si>
    <t xml:space="preserve">              8.29</t>
  </si>
  <si>
    <t>959.58</t>
  </si>
  <si>
    <t>Guyana</t>
  </si>
  <si>
    <t xml:space="preserve">              7.45</t>
  </si>
  <si>
    <t>Bahamas, The</t>
  </si>
  <si>
    <t xml:space="preserve">              7.14</t>
  </si>
  <si>
    <t>55000</t>
  </si>
  <si>
    <t>Moldova</t>
  </si>
  <si>
    <t xml:space="preserve">              7.06</t>
  </si>
  <si>
    <t>1770</t>
  </si>
  <si>
    <t>Angola</t>
  </si>
  <si>
    <t xml:space="preserve">              6.48</t>
  </si>
  <si>
    <t>3697.01</t>
  </si>
  <si>
    <t>Algeria</t>
  </si>
  <si>
    <t xml:space="preserve">              5.56</t>
  </si>
  <si>
    <t>9095.87</t>
  </si>
  <si>
    <t>Kazakhstan</t>
  </si>
  <si>
    <t xml:space="preserve">              4.23</t>
  </si>
  <si>
    <t>Malawi</t>
  </si>
  <si>
    <t xml:space="preserve">              3.07</t>
  </si>
  <si>
    <t>119000</t>
  </si>
  <si>
    <t>Trinidad and Tobago</t>
  </si>
  <si>
    <t xml:space="preserve">              2.85</t>
  </si>
  <si>
    <t>Maldives</t>
  </si>
  <si>
    <t xml:space="preserve">              2.59</t>
  </si>
  <si>
    <t>418</t>
  </si>
  <si>
    <t>Cyprus</t>
  </si>
  <si>
    <t xml:space="preserve">              2.14</t>
  </si>
  <si>
    <t>1046</t>
  </si>
  <si>
    <t>Latvia</t>
  </si>
  <si>
    <t xml:space="preserve">              1.56</t>
  </si>
  <si>
    <t>1667</t>
  </si>
  <si>
    <t>Antigua and Barbuda</t>
  </si>
  <si>
    <t xml:space="preserve">              1.19</t>
  </si>
  <si>
    <t>219.919</t>
  </si>
  <si>
    <t>Slovenia</t>
  </si>
  <si>
    <t xml:space="preserve">              1.15</t>
  </si>
  <si>
    <t>777.57</t>
  </si>
  <si>
    <t>Grenada</t>
  </si>
  <si>
    <t xml:space="preserve">              1.10</t>
  </si>
  <si>
    <t>148.88</t>
  </si>
  <si>
    <t>Kenya</t>
  </si>
  <si>
    <t xml:space="preserve">              0.86</t>
  </si>
  <si>
    <t>71</t>
  </si>
  <si>
    <t>Iceland</t>
  </si>
  <si>
    <t xml:space="preserve">              0.53</t>
  </si>
  <si>
    <t>12.981</t>
  </si>
  <si>
    <t>Cambodia</t>
  </si>
  <si>
    <t xml:space="preserve">              0.36</t>
  </si>
  <si>
    <t>5</t>
  </si>
  <si>
    <t>Morocco</t>
  </si>
  <si>
    <t xml:space="preserve">              0.35</t>
  </si>
  <si>
    <t>Malta</t>
  </si>
  <si>
    <t xml:space="preserve">              0.28</t>
  </si>
  <si>
    <t>Paraguay</t>
  </si>
  <si>
    <t xml:space="preserve">              0.24</t>
  </si>
  <si>
    <t>8.2</t>
  </si>
  <si>
    <t>Cape Verde</t>
  </si>
  <si>
    <t xml:space="preserve">              0.22</t>
  </si>
  <si>
    <t>75</t>
  </si>
  <si>
    <t>Yemen</t>
  </si>
  <si>
    <t xml:space="preserve">              0.18</t>
  </si>
  <si>
    <t>120</t>
  </si>
  <si>
    <t>Montserrat</t>
  </si>
  <si>
    <t>6</t>
  </si>
  <si>
    <t>Bahrain</t>
  </si>
  <si>
    <t xml:space="preserve">              0.10</t>
  </si>
  <si>
    <t>82</t>
  </si>
  <si>
    <t>Central African Republic</t>
  </si>
  <si>
    <t xml:space="preserve">              0.08</t>
  </si>
  <si>
    <t>100</t>
  </si>
  <si>
    <t>Estonia</t>
  </si>
  <si>
    <t>14</t>
  </si>
  <si>
    <t>Samoa</t>
  </si>
  <si>
    <t xml:space="preserve">              0.00</t>
  </si>
  <si>
    <t>271000</t>
  </si>
  <si>
    <t>Petroleum oils, etc, (excl. crude); preparation</t>
  </si>
  <si>
    <t xml:space="preserve">       75299563.24</t>
  </si>
  <si>
    <t>9.74594e+010</t>
  </si>
  <si>
    <t xml:space="preserve">       58719008.26</t>
  </si>
  <si>
    <t>9.25957e+010</t>
  </si>
  <si>
    <t xml:space="preserve">       52711248.48</t>
  </si>
  <si>
    <t>8.49191e+010</t>
  </si>
  <si>
    <t xml:space="preserve">       35241286.08</t>
  </si>
  <si>
    <t xml:space="preserve">       32789438.88</t>
  </si>
  <si>
    <t>5.07896e+010</t>
  </si>
  <si>
    <t xml:space="preserve">       31164002.54</t>
  </si>
  <si>
    <t>4.17371e+010</t>
  </si>
  <si>
    <t>Mexico</t>
  </si>
  <si>
    <t xml:space="preserve">       30717931.65</t>
  </si>
  <si>
    <t xml:space="preserve">       29339995.07</t>
  </si>
  <si>
    <t>4.82287e+010</t>
  </si>
  <si>
    <t xml:space="preserve">       26615705.47</t>
  </si>
  <si>
    <t xml:space="preserve">       26542444.88</t>
  </si>
  <si>
    <t>3.68754e+010</t>
  </si>
  <si>
    <t xml:space="preserve">       25799686.89</t>
  </si>
  <si>
    <t>3.26252e+010</t>
  </si>
  <si>
    <t xml:space="preserve">       24782566.39</t>
  </si>
  <si>
    <t>3.67409e+010</t>
  </si>
  <si>
    <t xml:space="preserve">       21556969.16</t>
  </si>
  <si>
    <t>2.87275e+010</t>
  </si>
  <si>
    <t>Turkey</t>
  </si>
  <si>
    <t xml:space="preserve">       20926213.91</t>
  </si>
  <si>
    <t>3.29218e+010</t>
  </si>
  <si>
    <t xml:space="preserve">       18256204.26</t>
  </si>
  <si>
    <t>2.43418e+010</t>
  </si>
  <si>
    <t xml:space="preserve">       16388673.74</t>
  </si>
  <si>
    <t>2.07269e+010</t>
  </si>
  <si>
    <t xml:space="preserve">       15304450.25</t>
  </si>
  <si>
    <t>2.74927e+010</t>
  </si>
  <si>
    <t>Nigeria</t>
  </si>
  <si>
    <t xml:space="preserve">       14654361.71</t>
  </si>
  <si>
    <t xml:space="preserve">       14050679.25</t>
  </si>
  <si>
    <t>1.84478e+010</t>
  </si>
  <si>
    <t>Saudi Arabia</t>
  </si>
  <si>
    <t xml:space="preserve">       12691409.85</t>
  </si>
  <si>
    <t>2.03014e+010</t>
  </si>
  <si>
    <t xml:space="preserve">       12242137.59</t>
  </si>
  <si>
    <t>1.79506e+010</t>
  </si>
  <si>
    <t xml:space="preserve">       11567911.74</t>
  </si>
  <si>
    <t>1.48829e+010</t>
  </si>
  <si>
    <t xml:space="preserve">       11069978.21</t>
  </si>
  <si>
    <t>1.45678e+010</t>
  </si>
  <si>
    <t>Hong Kong, China</t>
  </si>
  <si>
    <t xml:space="preserve">       10697405.27</t>
  </si>
  <si>
    <t>1.7885e+010</t>
  </si>
  <si>
    <t xml:space="preserve">       10178748.58</t>
  </si>
  <si>
    <t xml:space="preserve">        9248473.83</t>
  </si>
  <si>
    <t>8.73465e+009</t>
  </si>
  <si>
    <t xml:space="preserve">        8710250.77</t>
  </si>
  <si>
    <t>1.01557e+010</t>
  </si>
  <si>
    <t xml:space="preserve">        8641319.89</t>
  </si>
  <si>
    <t>1.39329e+010</t>
  </si>
  <si>
    <t xml:space="preserve">        7742945.85</t>
  </si>
  <si>
    <t>9.90504e+009</t>
  </si>
  <si>
    <t xml:space="preserve">        7574800.51</t>
  </si>
  <si>
    <t>8.95865e+009</t>
  </si>
  <si>
    <t xml:space="preserve">        7177432.27</t>
  </si>
  <si>
    <t>1.37092e+010</t>
  </si>
  <si>
    <t xml:space="preserve">        6820998.26</t>
  </si>
  <si>
    <t>7.56343e+009</t>
  </si>
  <si>
    <t xml:space="preserve">        6281576.39</t>
  </si>
  <si>
    <t>1.02931e+010</t>
  </si>
  <si>
    <t xml:space="preserve">        6084940.19</t>
  </si>
  <si>
    <t>8.75271e+009</t>
  </si>
  <si>
    <t xml:space="preserve">        5818193.95</t>
  </si>
  <si>
    <t>7.9575e+009</t>
  </si>
  <si>
    <t xml:space="preserve">        5595105.35</t>
  </si>
  <si>
    <t>6.03777e+009</t>
  </si>
  <si>
    <t xml:space="preserve">        5394409.92</t>
  </si>
  <si>
    <t>6.38613e+009</t>
  </si>
  <si>
    <t xml:space="preserve">        4917572.55</t>
  </si>
  <si>
    <t>5.36526e+009</t>
  </si>
  <si>
    <t xml:space="preserve">        4774257.75</t>
  </si>
  <si>
    <t>5.74587e+009</t>
  </si>
  <si>
    <t xml:space="preserve">        4655167.67</t>
  </si>
  <si>
    <t xml:space="preserve">        4611833.34</t>
  </si>
  <si>
    <t>5.76071e+009</t>
  </si>
  <si>
    <t xml:space="preserve">        4594977.28</t>
  </si>
  <si>
    <t>5.61826e+009</t>
  </si>
  <si>
    <t>Myanmar</t>
  </si>
  <si>
    <t xml:space="preserve">        4376737.30</t>
  </si>
  <si>
    <t>6.54083e+009</t>
  </si>
  <si>
    <t>Lebanon</t>
  </si>
  <si>
    <t xml:space="preserve">        4221075.41</t>
  </si>
  <si>
    <t>3.02075e+009</t>
  </si>
  <si>
    <t xml:space="preserve">        4133018.00</t>
  </si>
  <si>
    <t>4.91376e+009</t>
  </si>
  <si>
    <t xml:space="preserve">        3971701.66</t>
  </si>
  <si>
    <t>4.99775e+009</t>
  </si>
  <si>
    <t xml:space="preserve">        3938317.30</t>
  </si>
  <si>
    <t>4.81153e+009</t>
  </si>
  <si>
    <t xml:space="preserve">        3906416.56</t>
  </si>
  <si>
    <t>8.40239e+009</t>
  </si>
  <si>
    <t xml:space="preserve">        3790544.27</t>
  </si>
  <si>
    <t xml:space="preserve">        3777053.45</t>
  </si>
  <si>
    <t>4.61894e+009</t>
  </si>
  <si>
    <t xml:space="preserve">        3641079.09</t>
  </si>
  <si>
    <t>5.80737e+009</t>
  </si>
  <si>
    <t xml:space="preserve">        3161243.14</t>
  </si>
  <si>
    <t>2.76591e+009</t>
  </si>
  <si>
    <t xml:space="preserve">        3030921.42</t>
  </si>
  <si>
    <t>3.87161e+009</t>
  </si>
  <si>
    <t xml:space="preserve">        2918255.77</t>
  </si>
  <si>
    <t xml:space="preserve">        2900769.53</t>
  </si>
  <si>
    <t>3.17997e+009</t>
  </si>
  <si>
    <t xml:space="preserve">        2874435.61</t>
  </si>
  <si>
    <t>3.53422e+009</t>
  </si>
  <si>
    <t xml:space="preserve">        2832685.11</t>
  </si>
  <si>
    <t xml:space="preserve">        2806019.46</t>
  </si>
  <si>
    <t>4.16254e+009</t>
  </si>
  <si>
    <t xml:space="preserve">        2761120.97</t>
  </si>
  <si>
    <t xml:space="preserve">        2673225.69</t>
  </si>
  <si>
    <t>3.60933e+009</t>
  </si>
  <si>
    <t xml:space="preserve">        2551172.52</t>
  </si>
  <si>
    <t>3.1594e+009</t>
  </si>
  <si>
    <t>Panama</t>
  </si>
  <si>
    <t xml:space="preserve">        2476647.37</t>
  </si>
  <si>
    <t>2.71889e+009</t>
  </si>
  <si>
    <t>Honduras</t>
  </si>
  <si>
    <t xml:space="preserve">        2473284.75</t>
  </si>
  <si>
    <t>3.22727e+009</t>
  </si>
  <si>
    <t xml:space="preserve">        2472309.42</t>
  </si>
  <si>
    <t>3.21006e+009</t>
  </si>
  <si>
    <t xml:space="preserve">        2471007.63</t>
  </si>
  <si>
    <t>3.67626e+009</t>
  </si>
  <si>
    <t xml:space="preserve">        2366222.24</t>
  </si>
  <si>
    <t>3.25781e+009</t>
  </si>
  <si>
    <t xml:space="preserve">        2350052.28</t>
  </si>
  <si>
    <t>2.08814e+009</t>
  </si>
  <si>
    <t xml:space="preserve">        2262569.68</t>
  </si>
  <si>
    <t>2.85259e+009</t>
  </si>
  <si>
    <t xml:space="preserve">        2200501.77</t>
  </si>
  <si>
    <t>1.55016e+009</t>
  </si>
  <si>
    <t xml:space="preserve">        2155058.75</t>
  </si>
  <si>
    <t>2.34997e+009</t>
  </si>
  <si>
    <t xml:space="preserve">        2151821.76</t>
  </si>
  <si>
    <t>2.25081e+009</t>
  </si>
  <si>
    <t xml:space="preserve">        2090149.67</t>
  </si>
  <si>
    <t>2.31574e+009</t>
  </si>
  <si>
    <t xml:space="preserve">        1994516.40</t>
  </si>
  <si>
    <t xml:space="preserve">        1813505.67</t>
  </si>
  <si>
    <t>2.37845e+009</t>
  </si>
  <si>
    <t xml:space="preserve">        1760399.61</t>
  </si>
  <si>
    <t>2.0857e+009</t>
  </si>
  <si>
    <t xml:space="preserve">        1741106.93</t>
  </si>
  <si>
    <t>2.14606e+009</t>
  </si>
  <si>
    <t xml:space="preserve">        1660268.40</t>
  </si>
  <si>
    <t>1.70509e+009</t>
  </si>
  <si>
    <t>Mauritania</t>
  </si>
  <si>
    <t xml:space="preserve">        1612345.43</t>
  </si>
  <si>
    <t>1.73399e+009</t>
  </si>
  <si>
    <t>Argentina</t>
  </si>
  <si>
    <t xml:space="preserve">        1555881.15</t>
  </si>
  <si>
    <t>1.76481e+009</t>
  </si>
  <si>
    <t xml:space="preserve">        1544866.00</t>
  </si>
  <si>
    <t>1.08816e+009</t>
  </si>
  <si>
    <t xml:space="preserve">        1479564.58</t>
  </si>
  <si>
    <t>1.78485e+009</t>
  </si>
  <si>
    <t xml:space="preserve">        1469671.44</t>
  </si>
  <si>
    <t>2.74889e+009</t>
  </si>
  <si>
    <t xml:space="preserve">        1441974.92</t>
  </si>
  <si>
    <t>2.25104e+009</t>
  </si>
  <si>
    <t xml:space="preserve">        1432168.21</t>
  </si>
  <si>
    <t>1.57305e+009</t>
  </si>
  <si>
    <t xml:space="preserve">        1419395.55</t>
  </si>
  <si>
    <t>1.40023e+009</t>
  </si>
  <si>
    <t xml:space="preserve">        1404155.08</t>
  </si>
  <si>
    <t>1.87479e+009</t>
  </si>
  <si>
    <t xml:space="preserve">        1372635.70</t>
  </si>
  <si>
    <t>1.48804e+009</t>
  </si>
  <si>
    <t xml:space="preserve">        1303006.51</t>
  </si>
  <si>
    <t>Bosnia and Herzegovina</t>
  </si>
  <si>
    <t xml:space="preserve">        1298720.57</t>
  </si>
  <si>
    <t>Mauritius</t>
  </si>
  <si>
    <t xml:space="preserve">        1263853.47</t>
  </si>
  <si>
    <t>1.92947e+009</t>
  </si>
  <si>
    <t xml:space="preserve">        1156253.41</t>
  </si>
  <si>
    <t xml:space="preserve">        1064766.28</t>
  </si>
  <si>
    <t>1.42421e+009</t>
  </si>
  <si>
    <t xml:space="preserve">        1040349.96</t>
  </si>
  <si>
    <t>1.23521e+009</t>
  </si>
  <si>
    <t xml:space="preserve">        1025518.33</t>
  </si>
  <si>
    <t>1.35172e+009</t>
  </si>
  <si>
    <t xml:space="preserve">        1018808.35</t>
  </si>
  <si>
    <t>1.41932e+009</t>
  </si>
  <si>
    <t xml:space="preserve">         976469.34</t>
  </si>
  <si>
    <t>1.20655e+009</t>
  </si>
  <si>
    <t xml:space="preserve">         940514.88</t>
  </si>
  <si>
    <t xml:space="preserve">         930885.61</t>
  </si>
  <si>
    <t>1.08058e+009</t>
  </si>
  <si>
    <t xml:space="preserve">         879560.50</t>
  </si>
  <si>
    <t>9.41149e+008</t>
  </si>
  <si>
    <t xml:space="preserve">         844283.88</t>
  </si>
  <si>
    <t>1.082e+009</t>
  </si>
  <si>
    <t>North Macedonia</t>
  </si>
  <si>
    <t xml:space="preserve">         835364.01</t>
  </si>
  <si>
    <t>1.0372e+009</t>
  </si>
  <si>
    <t>Madagascar</t>
  </si>
  <si>
    <t xml:space="preserve">         825108.72</t>
  </si>
  <si>
    <t>1.02653e+009</t>
  </si>
  <si>
    <t xml:space="preserve">         768111.64</t>
  </si>
  <si>
    <t>3.28805e+009</t>
  </si>
  <si>
    <t xml:space="preserve">         739363.76</t>
  </si>
  <si>
    <t>9.41406e+008</t>
  </si>
  <si>
    <t xml:space="preserve">         721708.51</t>
  </si>
  <si>
    <t>9.61063e+008</t>
  </si>
  <si>
    <t xml:space="preserve">         696801.14</t>
  </si>
  <si>
    <t xml:space="preserve">         626859.78</t>
  </si>
  <si>
    <t xml:space="preserve">         614158.98</t>
  </si>
  <si>
    <t>5.44893e+008</t>
  </si>
  <si>
    <t xml:space="preserve">         566567.49</t>
  </si>
  <si>
    <t>8.5329e+008</t>
  </si>
  <si>
    <t>Albania</t>
  </si>
  <si>
    <t xml:space="preserve">         566212.47</t>
  </si>
  <si>
    <t>6.63956e+008</t>
  </si>
  <si>
    <t xml:space="preserve">         519532.04</t>
  </si>
  <si>
    <t>3.01742e+008</t>
  </si>
  <si>
    <t xml:space="preserve">         499284.35</t>
  </si>
  <si>
    <t>5.25117e+008</t>
  </si>
  <si>
    <t xml:space="preserve">         469681.39</t>
  </si>
  <si>
    <t>4.89111e+008</t>
  </si>
  <si>
    <t>Barbados</t>
  </si>
  <si>
    <t xml:space="preserve">         468690.28</t>
  </si>
  <si>
    <t>5.77695e+008</t>
  </si>
  <si>
    <t xml:space="preserve">         392470.71</t>
  </si>
  <si>
    <t>2.6563e+008</t>
  </si>
  <si>
    <t>Benin</t>
  </si>
  <si>
    <t xml:space="preserve">         381791.43</t>
  </si>
  <si>
    <t>5.53401e+008</t>
  </si>
  <si>
    <t>Montenegro</t>
  </si>
  <si>
    <t xml:space="preserve">         338909.19</t>
  </si>
  <si>
    <t>4.08701e+008</t>
  </si>
  <si>
    <t>Gambia, The</t>
  </si>
  <si>
    <t xml:space="preserve">         311425.88</t>
  </si>
  <si>
    <t>2.15949e+008</t>
  </si>
  <si>
    <t>Seychelles</t>
  </si>
  <si>
    <t xml:space="preserve">         303067.68</t>
  </si>
  <si>
    <t>3.80401e+008</t>
  </si>
  <si>
    <t xml:space="preserve">         225536.05</t>
  </si>
  <si>
    <t>1.84151e+008</t>
  </si>
  <si>
    <t>Suriname</t>
  </si>
  <si>
    <t xml:space="preserve">         225125.94</t>
  </si>
  <si>
    <t>2.22892e+008</t>
  </si>
  <si>
    <t>Cayman Islands</t>
  </si>
  <si>
    <t xml:space="preserve">         219513.83</t>
  </si>
  <si>
    <t>Togo</t>
  </si>
  <si>
    <t xml:space="preserve">         210893.32</t>
  </si>
  <si>
    <t>2.41966e+008</t>
  </si>
  <si>
    <t xml:space="preserve">         205059.21</t>
  </si>
  <si>
    <t>1.75264e+008</t>
  </si>
  <si>
    <t xml:space="preserve">         203117.66</t>
  </si>
  <si>
    <t>2.53339e+008</t>
  </si>
  <si>
    <t xml:space="preserve">         182204.83</t>
  </si>
  <si>
    <t>Kuwait</t>
  </si>
  <si>
    <t xml:space="preserve">         154096.39</t>
  </si>
  <si>
    <t>7.80838e+007</t>
  </si>
  <si>
    <t>Bermuda</t>
  </si>
  <si>
    <t xml:space="preserve">         142552.46</t>
  </si>
  <si>
    <t>1.52301e+008</t>
  </si>
  <si>
    <t xml:space="preserve">         128742.13</t>
  </si>
  <si>
    <t xml:space="preserve">         121805.95</t>
  </si>
  <si>
    <t>1.59864e+008</t>
  </si>
  <si>
    <t xml:space="preserve">         103969.15</t>
  </si>
  <si>
    <t>6.99804e+007</t>
  </si>
  <si>
    <t>Niger</t>
  </si>
  <si>
    <t xml:space="preserve">          92466.94</t>
  </si>
  <si>
    <t>9.08514e+007</t>
  </si>
  <si>
    <t xml:space="preserve">          89868.75</t>
  </si>
  <si>
    <t>1.06408e+008</t>
  </si>
  <si>
    <t>Macao</t>
  </si>
  <si>
    <t xml:space="preserve">          85082.96</t>
  </si>
  <si>
    <t>8.15514e+007</t>
  </si>
  <si>
    <t xml:space="preserve">          61933.05</t>
  </si>
  <si>
    <t>3.00248e+007</t>
  </si>
  <si>
    <t xml:space="preserve">           7020.64</t>
  </si>
  <si>
    <t>7.93806e+006</t>
  </si>
  <si>
    <t>French Polynesia</t>
  </si>
  <si>
    <t xml:space="preserve">           6677.37</t>
  </si>
  <si>
    <t>2.03969e+006</t>
  </si>
  <si>
    <t xml:space="preserve">           3547.63</t>
  </si>
  <si>
    <t>919508</t>
  </si>
  <si>
    <t>Country</t>
  </si>
  <si>
    <t>Crude (kg)</t>
  </si>
  <si>
    <t>Refined (kg)</t>
  </si>
  <si>
    <t>Country_name_standarized</t>
  </si>
  <si>
    <t>Crude (mb/y)</t>
  </si>
  <si>
    <t>Refined (mb/y)</t>
  </si>
  <si>
    <t>Total Oil (mb/y)</t>
  </si>
  <si>
    <t>Total Oil (mb/d)</t>
  </si>
  <si>
    <t>https://www.bp.com/content/dam/bp/business-sites/en/global/corporate/pdfs/energy-economics/statistical-review/bp-stats-review-2022-approximate-conversion-factors.pdf</t>
  </si>
  <si>
    <t>https://wits.worldbank.org/trade/comtrade/en/country/ALL/year/2024/tradeflow/Imports/partner/WLD/product/270900#</t>
  </si>
  <si>
    <t>Data</t>
  </si>
  <si>
    <t>Conversion factor</t>
  </si>
  <si>
    <t>Crude (mb/d)</t>
  </si>
  <si>
    <t>Refined (mb/d)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</si>
</sst>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_(* #,##0.0_);_(* \(#,##0.0\);_(* &quot;-&quot;??_);_(@_)"/>
    <numFmt numFmtId="168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2" fillId="0" borderId="0" xfId="2"/>
    <xf numFmtId="167" fontId="0" fillId="0" borderId="0" xfId="1" applyNumberFormat="1" applyFont="1"/>
    <xf numFmtId="168" fontId="0" fillId="0" borderId="0" xfId="1" applyNumberFormat="1" applyFont="1"/>
  </cellXfs>
  <cellStyles count="3">
    <cellStyle name="Comma" xfId="1" builtinId="3"/>
    <cellStyle name="Hyperlink" xfId="2" builtinId="8"/>
    <cellStyle name="Normal" xfId="0" builtinId="0"/>
  </cellStyles>
  <dxfs count="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63BED-637D-3A48-9C49-3B02735A5A47}" name="crude" displayName="crude" ref="A1:I110" totalsRowShown="0">
  <autoFilter ref="A1:I110" xr:uid="{CFA63BED-637D-3A48-9C49-3B02735A5A47}"/>
  <tableColumns count="9">
    <tableColumn id="1" xr3:uid="{54594ED7-7102-6043-838A-11A88CD5DB4F}" name="Reporter"/>
    <tableColumn id="2" xr3:uid="{B37EECC8-1BF3-C543-B87C-1787DE45CE05}" name="TradeFlow"/>
    <tableColumn id="3" xr3:uid="{C53A9805-7015-854E-B8AF-67992A13EB0D}" name="ProductCode"/>
    <tableColumn id="4" xr3:uid="{7A4BE934-4A43-3246-A9C5-8B51D3BA6369}" name="Product Description"/>
    <tableColumn id="5" xr3:uid="{4B5D3BBF-5A4C-2C49-AADC-4E5D4C0ADF6C}" name="Year"/>
    <tableColumn id="6" xr3:uid="{9C16A859-99EA-C94D-9A32-DE75C4F1ADD6}" name="Partner"/>
    <tableColumn id="7" xr3:uid="{AF327C8F-82D9-FB41-AC8A-4E4F8AEC36F1}" name="Trade Value 1000USD"/>
    <tableColumn id="8" xr3:uid="{8980392C-DBDA-C44E-909D-B5B462E33BB4}" name="Quantity"/>
    <tableColumn id="9" xr3:uid="{9BAF2263-6352-A141-A53E-648F6B2A4AE3}" name="Quantity 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06B886-75BE-7740-BF90-B5D4DEC39E8D}" name="refined" displayName="refined" ref="A1:I139" totalsRowShown="0">
  <autoFilter ref="A1:I139" xr:uid="{2A06B886-75BE-7740-BF90-B5D4DEC39E8D}">
    <filterColumn colId="7">
      <customFilters>
        <customFilter operator="notEqual" val=" "/>
      </customFilters>
    </filterColumn>
  </autoFilter>
  <tableColumns count="9">
    <tableColumn id="1" xr3:uid="{31FF23D5-FE34-C44F-AA4D-C6891BFF0CF0}" name="Reporter"/>
    <tableColumn id="2" xr3:uid="{DE8DE7DC-0DD1-B64E-905A-C3DEAF2C9DE0}" name="TradeFlow"/>
    <tableColumn id="3" xr3:uid="{F9F26E16-3B93-1342-980B-D36E7A038A3E}" name="ProductCode"/>
    <tableColumn id="4" xr3:uid="{5BED6772-4A42-CA4E-BA0B-32A69423BEDD}" name="Product Description"/>
    <tableColumn id="5" xr3:uid="{C22D7AF9-9CB6-8F4B-95A3-534182C80A95}" name="Year"/>
    <tableColumn id="6" xr3:uid="{5028AB3B-5F5A-D040-BB53-F8AB51F4A082}" name="Partner"/>
    <tableColumn id="7" xr3:uid="{169AD9E3-90AC-7149-B320-4A53941C871D}" name="Trade Value 1000USD"/>
    <tableColumn id="8" xr3:uid="{E8576D61-DED8-854E-873F-33853A0EE624}" name="Quantity"/>
    <tableColumn id="9" xr3:uid="{0BD37806-5588-6447-95D3-0DF60F7C529F}" name="Quantity Un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98F2AE-1BB4-804C-9E00-24DC15121DC9}" name="imports" displayName="imports" ref="A1:J119" totalsRowShown="0">
  <autoFilter ref="A1:J119" xr:uid="{5298F2AE-1BB4-804C-9E00-24DC15121DC9}">
    <filterColumn colId="8">
      <customFilters>
        <customFilter operator="notEqual" val=" "/>
      </customFilters>
    </filterColumn>
  </autoFilter>
  <sortState xmlns:xlrd2="http://schemas.microsoft.com/office/spreadsheetml/2017/richdata2" ref="A3:J119">
    <sortCondition descending="1" ref="J1:J119"/>
  </sortState>
  <tableColumns count="10">
    <tableColumn id="1" xr3:uid="{6CC1DF46-77C4-C740-A3EE-56EDA3A2367B}" name="Country"/>
    <tableColumn id="5" xr3:uid="{720A18F1-383A-8A43-9E30-1552BFDE476A}" name="Country_name_standarized"/>
    <tableColumn id="2" xr3:uid="{DEBCF9F4-1A5A-D94C-BD0F-DB29EACAEB38}" name="Crude (kg)" dataDxfId="7">
      <calculatedColumnFormula>VALUE(_xlfn.XLOOKUP(imports[[#This Row],[Country]], crude[Reporter], crude[Quantity], "Not found", 0))</calculatedColumnFormula>
    </tableColumn>
    <tableColumn id="8" xr3:uid="{45EFAA70-003C-414B-8A8E-7B0EA1650E2D}" name="Crude (mb/y)" dataDxfId="5">
      <calculatedColumnFormula>imports[[#This Row],[Crude (kg)]]/(136.4*10^6)</calculatedColumnFormula>
    </tableColumn>
    <tableColumn id="11" xr3:uid="{6B444274-3768-694B-971A-4A3A58ED5433}" name="Crude (mb/d)" dataDxfId="2">
      <calculatedColumnFormula>imports[[#This Row],[Crude (mb/y)]]/365</calculatedColumnFormula>
    </tableColumn>
    <tableColumn id="3" xr3:uid="{C4DCA3C5-A940-A34E-8AAE-1C684D3531D5}" name="Refined (kg)" dataDxfId="6">
      <calculatedColumnFormula>VALUE(_xlfn.XLOOKUP(imports[[#This Row],[Country]], refined[Reporter], refined[Quantity], "Not found", 0))</calculatedColumnFormula>
    </tableColumn>
    <tableColumn id="9" xr3:uid="{6C1DCD1F-5177-D946-AF1F-ABBE912BD97F}" name="Refined (mb/y)" dataDxfId="4">
      <calculatedColumnFormula>imports[[#This Row],[Refined (kg)]]/(137*10^6)</calculatedColumnFormula>
    </tableColumn>
    <tableColumn id="12" xr3:uid="{5010460D-AE62-064C-B6F0-8C76C02C3C57}" name="Refined (mb/d)" dataDxfId="1">
      <calculatedColumnFormula>imports[[#This Row],[Refined (mb/y)]]/365</calculatedColumnFormula>
    </tableColumn>
    <tableColumn id="4" xr3:uid="{A0F218A6-D8FC-F04A-9F69-070F99B423D5}" name="Total Oil (mb/y)" dataDxfId="3">
      <calculatedColumnFormula>imports[[#This Row],[Crude (mb/y)]]+imports[[#This Row],[Refined (mb/y)]]</calculatedColumnFormula>
    </tableColumn>
    <tableColumn id="10" xr3:uid="{EF6E7272-C5D7-8F40-A2BD-8831D5DDE73A}" name="Total Oil (mb/d)" dataDxfId="0">
      <calculatedColumnFormula>imports[[#This Row],[Crude (mb/d)]]+imports[[#This Row],[Refined (mb/d)]]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its.worldbank.org/trade/comtrade/en/country/ALL/year/2024/tradeflow/Imports/partner/WLD/product/270900" TargetMode="External"/><Relationship Id="rId1" Type="http://schemas.openxmlformats.org/officeDocument/2006/relationships/hyperlink" Target="https://www.bp.com/content/dam/bp/business-sites/en/global/corporate/pdfs/energy-economics/statistical-review/bp-stats-review-2022-approximate-conversion-factor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CCA1-BCFE-D246-A9B4-C1CD6C26C142}">
  <dimension ref="A1:I110"/>
  <sheetViews>
    <sheetView workbookViewId="0">
      <selection activeCell="A9" sqref="A9"/>
    </sheetView>
  </sheetViews>
  <sheetFormatPr baseColWidth="10" defaultRowHeight="16" x14ac:dyDescent="0.2"/>
  <cols>
    <col min="1" max="1" width="26.6640625" bestFit="1" customWidth="1"/>
    <col min="2" max="2" width="11.83203125" customWidth="1"/>
    <col min="3" max="3" width="14.33203125" customWidth="1"/>
    <col min="4" max="4" width="20" customWidth="1"/>
    <col min="7" max="7" width="20.83203125" customWidth="1"/>
    <col min="8" max="8" width="12.6640625" bestFit="1" customWidth="1"/>
    <col min="9" max="9" width="14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19</v>
      </c>
      <c r="H3" t="s">
        <v>20</v>
      </c>
      <c r="I3" t="s">
        <v>20</v>
      </c>
    </row>
    <row r="4" spans="1:9" x14ac:dyDescent="0.2">
      <c r="A4" t="s">
        <v>21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">
      <c r="A5" t="s">
        <v>24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25</v>
      </c>
      <c r="H5" t="s">
        <v>26</v>
      </c>
      <c r="I5" t="s">
        <v>17</v>
      </c>
    </row>
    <row r="6" spans="1:9" x14ac:dyDescent="0.2">
      <c r="A6" t="s">
        <v>27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28</v>
      </c>
      <c r="H6" t="s">
        <v>29</v>
      </c>
      <c r="I6" t="s">
        <v>17</v>
      </c>
    </row>
    <row r="7" spans="1:9" x14ac:dyDescent="0.2">
      <c r="A7" t="s">
        <v>30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31</v>
      </c>
      <c r="H7" t="s">
        <v>32</v>
      </c>
      <c r="I7" t="s">
        <v>17</v>
      </c>
    </row>
    <row r="8" spans="1:9" x14ac:dyDescent="0.2">
      <c r="A8" t="s">
        <v>33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34</v>
      </c>
      <c r="H8" t="s">
        <v>35</v>
      </c>
      <c r="I8" t="s">
        <v>17</v>
      </c>
    </row>
    <row r="9" spans="1:9" x14ac:dyDescent="0.2">
      <c r="A9" t="s">
        <v>36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37</v>
      </c>
      <c r="H9" t="s">
        <v>38</v>
      </c>
      <c r="I9" t="s">
        <v>17</v>
      </c>
    </row>
    <row r="10" spans="1:9" x14ac:dyDescent="0.2">
      <c r="A10" t="s">
        <v>39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40</v>
      </c>
      <c r="H10" t="s">
        <v>20</v>
      </c>
      <c r="I10" t="s">
        <v>20</v>
      </c>
    </row>
    <row r="11" spans="1:9" x14ac:dyDescent="0.2">
      <c r="A11" t="s">
        <v>41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42</v>
      </c>
      <c r="H11" t="s">
        <v>43</v>
      </c>
      <c r="I11" t="s">
        <v>17</v>
      </c>
    </row>
    <row r="12" spans="1:9" x14ac:dyDescent="0.2">
      <c r="A12" t="s">
        <v>44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45</v>
      </c>
      <c r="H12" t="s">
        <v>46</v>
      </c>
      <c r="I12" t="s">
        <v>17</v>
      </c>
    </row>
    <row r="13" spans="1:9" x14ac:dyDescent="0.2">
      <c r="A13" t="s">
        <v>47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48</v>
      </c>
      <c r="H13" t="s">
        <v>20</v>
      </c>
      <c r="I13" t="s">
        <v>20</v>
      </c>
    </row>
    <row r="14" spans="1:9" x14ac:dyDescent="0.2">
      <c r="A14" t="s">
        <v>49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50</v>
      </c>
      <c r="H14" t="s">
        <v>51</v>
      </c>
      <c r="I14" t="s">
        <v>17</v>
      </c>
    </row>
    <row r="15" spans="1:9" x14ac:dyDescent="0.2">
      <c r="A15" t="s">
        <v>52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53</v>
      </c>
      <c r="H15" t="s">
        <v>54</v>
      </c>
      <c r="I15" t="s">
        <v>17</v>
      </c>
    </row>
    <row r="16" spans="1:9" x14ac:dyDescent="0.2">
      <c r="A16" t="s">
        <v>55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56</v>
      </c>
      <c r="H16" t="s">
        <v>57</v>
      </c>
      <c r="I16" t="s">
        <v>17</v>
      </c>
    </row>
    <row r="17" spans="1:9" x14ac:dyDescent="0.2">
      <c r="A17" t="s">
        <v>58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59</v>
      </c>
      <c r="H17" t="s">
        <v>20</v>
      </c>
      <c r="I17" t="s">
        <v>20</v>
      </c>
    </row>
    <row r="18" spans="1:9" x14ac:dyDescent="0.2">
      <c r="A18" t="s">
        <v>60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61</v>
      </c>
      <c r="H18" t="s">
        <v>62</v>
      </c>
      <c r="I18" t="s">
        <v>17</v>
      </c>
    </row>
    <row r="19" spans="1:9" x14ac:dyDescent="0.2">
      <c r="A19" t="s">
        <v>63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64</v>
      </c>
      <c r="H19" t="s">
        <v>20</v>
      </c>
      <c r="I19" t="s">
        <v>20</v>
      </c>
    </row>
    <row r="20" spans="1:9" x14ac:dyDescent="0.2">
      <c r="A20" t="s">
        <v>65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66</v>
      </c>
      <c r="H20" t="s">
        <v>67</v>
      </c>
      <c r="I20" t="s">
        <v>17</v>
      </c>
    </row>
    <row r="21" spans="1:9" x14ac:dyDescent="0.2">
      <c r="A21" t="s">
        <v>68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69</v>
      </c>
      <c r="H21" t="s">
        <v>70</v>
      </c>
      <c r="I21" t="s">
        <v>17</v>
      </c>
    </row>
    <row r="22" spans="1:9" x14ac:dyDescent="0.2">
      <c r="A22" t="s">
        <v>71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72</v>
      </c>
      <c r="H22" t="s">
        <v>73</v>
      </c>
      <c r="I22" t="s">
        <v>17</v>
      </c>
    </row>
    <row r="23" spans="1:9" x14ac:dyDescent="0.2">
      <c r="A23" t="s">
        <v>74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75</v>
      </c>
      <c r="H23" t="s">
        <v>20</v>
      </c>
      <c r="I23" t="s">
        <v>20</v>
      </c>
    </row>
    <row r="24" spans="1:9" x14ac:dyDescent="0.2">
      <c r="A24" t="s">
        <v>76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77</v>
      </c>
      <c r="H24" t="s">
        <v>20</v>
      </c>
      <c r="I24" t="s">
        <v>20</v>
      </c>
    </row>
    <row r="25" spans="1:9" x14ac:dyDescent="0.2">
      <c r="A25" t="s">
        <v>78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79</v>
      </c>
      <c r="H25" t="s">
        <v>80</v>
      </c>
      <c r="I25" t="s">
        <v>17</v>
      </c>
    </row>
    <row r="26" spans="1:9" x14ac:dyDescent="0.2">
      <c r="A26" t="s">
        <v>81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82</v>
      </c>
      <c r="H26" t="s">
        <v>83</v>
      </c>
      <c r="I26" t="s">
        <v>17</v>
      </c>
    </row>
    <row r="27" spans="1:9" x14ac:dyDescent="0.2">
      <c r="A27" t="s">
        <v>84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85</v>
      </c>
      <c r="H27" t="s">
        <v>86</v>
      </c>
      <c r="I27" t="s">
        <v>17</v>
      </c>
    </row>
    <row r="28" spans="1:9" x14ac:dyDescent="0.2">
      <c r="A28" t="s">
        <v>87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88</v>
      </c>
      <c r="H28" t="s">
        <v>89</v>
      </c>
      <c r="I28" t="s">
        <v>17</v>
      </c>
    </row>
    <row r="29" spans="1:9" x14ac:dyDescent="0.2">
      <c r="A29" t="s">
        <v>90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91</v>
      </c>
      <c r="H29" t="s">
        <v>92</v>
      </c>
      <c r="I29" t="s">
        <v>17</v>
      </c>
    </row>
    <row r="30" spans="1:9" x14ac:dyDescent="0.2">
      <c r="A30" t="s">
        <v>93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94</v>
      </c>
      <c r="H30" t="s">
        <v>95</v>
      </c>
      <c r="I30" t="s">
        <v>17</v>
      </c>
    </row>
    <row r="31" spans="1:9" x14ac:dyDescent="0.2">
      <c r="A31" t="s">
        <v>96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97</v>
      </c>
      <c r="H31" t="s">
        <v>98</v>
      </c>
      <c r="I31" t="s">
        <v>17</v>
      </c>
    </row>
    <row r="32" spans="1:9" x14ac:dyDescent="0.2">
      <c r="A32" t="s">
        <v>99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100</v>
      </c>
      <c r="H32" t="s">
        <v>101</v>
      </c>
      <c r="I32" t="s">
        <v>17</v>
      </c>
    </row>
    <row r="33" spans="1:9" x14ac:dyDescent="0.2">
      <c r="A33" t="s">
        <v>102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103</v>
      </c>
      <c r="H33" t="s">
        <v>20</v>
      </c>
      <c r="I33" t="s">
        <v>20</v>
      </c>
    </row>
    <row r="34" spans="1:9" x14ac:dyDescent="0.2">
      <c r="A34" t="s">
        <v>104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105</v>
      </c>
      <c r="H34" t="s">
        <v>106</v>
      </c>
      <c r="I34" t="s">
        <v>17</v>
      </c>
    </row>
    <row r="35" spans="1:9" x14ac:dyDescent="0.2">
      <c r="A35" t="s">
        <v>107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108</v>
      </c>
      <c r="H35" t="s">
        <v>109</v>
      </c>
      <c r="I35" t="s">
        <v>17</v>
      </c>
    </row>
    <row r="36" spans="1:9" x14ac:dyDescent="0.2">
      <c r="A36" t="s">
        <v>110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111</v>
      </c>
      <c r="H36" t="s">
        <v>20</v>
      </c>
      <c r="I36" t="s">
        <v>20</v>
      </c>
    </row>
    <row r="37" spans="1:9" x14ac:dyDescent="0.2">
      <c r="A37" t="s">
        <v>112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113</v>
      </c>
      <c r="H37" t="s">
        <v>114</v>
      </c>
      <c r="I37" t="s">
        <v>17</v>
      </c>
    </row>
    <row r="38" spans="1:9" x14ac:dyDescent="0.2">
      <c r="A38" t="s">
        <v>115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116</v>
      </c>
      <c r="H38" t="s">
        <v>20</v>
      </c>
      <c r="I38" t="s">
        <v>20</v>
      </c>
    </row>
    <row r="39" spans="1:9" x14ac:dyDescent="0.2">
      <c r="A39" t="s">
        <v>117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 t="s">
        <v>118</v>
      </c>
      <c r="H39" t="s">
        <v>20</v>
      </c>
      <c r="I39" t="s">
        <v>20</v>
      </c>
    </row>
    <row r="40" spans="1:9" x14ac:dyDescent="0.2">
      <c r="A40" t="s">
        <v>119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120</v>
      </c>
      <c r="H40" t="s">
        <v>121</v>
      </c>
      <c r="I40" t="s">
        <v>17</v>
      </c>
    </row>
    <row r="41" spans="1:9" x14ac:dyDescent="0.2">
      <c r="A41" t="s">
        <v>122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123</v>
      </c>
      <c r="H41" t="s">
        <v>124</v>
      </c>
      <c r="I41" t="s">
        <v>17</v>
      </c>
    </row>
    <row r="42" spans="1:9" x14ac:dyDescent="0.2">
      <c r="A42" t="s">
        <v>125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126</v>
      </c>
      <c r="H42" t="s">
        <v>127</v>
      </c>
      <c r="I42" t="s">
        <v>17</v>
      </c>
    </row>
    <row r="43" spans="1:9" x14ac:dyDescent="0.2">
      <c r="A43" t="s">
        <v>128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129</v>
      </c>
      <c r="H43" t="s">
        <v>130</v>
      </c>
      <c r="I43" t="s">
        <v>17</v>
      </c>
    </row>
    <row r="44" spans="1:9" x14ac:dyDescent="0.2">
      <c r="A44" t="s">
        <v>131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 t="s">
        <v>132</v>
      </c>
      <c r="H44" t="s">
        <v>133</v>
      </c>
      <c r="I44" t="s">
        <v>17</v>
      </c>
    </row>
    <row r="45" spans="1:9" x14ac:dyDescent="0.2">
      <c r="A45" t="s">
        <v>134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135</v>
      </c>
      <c r="H45" t="s">
        <v>136</v>
      </c>
      <c r="I45" t="s">
        <v>17</v>
      </c>
    </row>
    <row r="46" spans="1:9" x14ac:dyDescent="0.2">
      <c r="A46" t="s">
        <v>137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138</v>
      </c>
      <c r="H46" t="s">
        <v>20</v>
      </c>
      <c r="I46" t="s">
        <v>20</v>
      </c>
    </row>
    <row r="47" spans="1:9" x14ac:dyDescent="0.2">
      <c r="A47" t="s">
        <v>139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140</v>
      </c>
      <c r="H47" t="s">
        <v>141</v>
      </c>
      <c r="I47" t="s">
        <v>17</v>
      </c>
    </row>
    <row r="48" spans="1:9" x14ac:dyDescent="0.2">
      <c r="A48" t="s">
        <v>142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143</v>
      </c>
      <c r="H48" t="s">
        <v>144</v>
      </c>
      <c r="I48" t="s">
        <v>17</v>
      </c>
    </row>
    <row r="49" spans="1:9" x14ac:dyDescent="0.2">
      <c r="A49" t="s">
        <v>145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 t="s">
        <v>146</v>
      </c>
      <c r="H49" t="s">
        <v>20</v>
      </c>
      <c r="I49" t="s">
        <v>20</v>
      </c>
    </row>
    <row r="50" spans="1:9" x14ac:dyDescent="0.2">
      <c r="A50" t="s">
        <v>147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148</v>
      </c>
      <c r="H50" t="s">
        <v>149</v>
      </c>
      <c r="I50" t="s">
        <v>17</v>
      </c>
    </row>
    <row r="51" spans="1:9" x14ac:dyDescent="0.2">
      <c r="A51" t="s">
        <v>150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151</v>
      </c>
      <c r="H51" t="s">
        <v>152</v>
      </c>
      <c r="I51" t="s">
        <v>17</v>
      </c>
    </row>
    <row r="52" spans="1:9" x14ac:dyDescent="0.2">
      <c r="A52" t="s">
        <v>153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 t="s">
        <v>154</v>
      </c>
      <c r="H52" t="s">
        <v>155</v>
      </c>
      <c r="I52" t="s">
        <v>17</v>
      </c>
    </row>
    <row r="53" spans="1:9" x14ac:dyDescent="0.2">
      <c r="A53" t="s">
        <v>156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 t="s">
        <v>157</v>
      </c>
      <c r="H53" t="s">
        <v>158</v>
      </c>
      <c r="I53" t="s">
        <v>17</v>
      </c>
    </row>
    <row r="54" spans="1:9" x14ac:dyDescent="0.2">
      <c r="A54" t="s">
        <v>159</v>
      </c>
      <c r="B54" t="s">
        <v>10</v>
      </c>
      <c r="C54" t="s">
        <v>11</v>
      </c>
      <c r="D54" t="s">
        <v>12</v>
      </c>
      <c r="E54" t="s">
        <v>13</v>
      </c>
      <c r="F54" t="s">
        <v>14</v>
      </c>
      <c r="G54" t="s">
        <v>160</v>
      </c>
      <c r="H54" t="s">
        <v>161</v>
      </c>
      <c r="I54" t="s">
        <v>17</v>
      </c>
    </row>
    <row r="55" spans="1:9" x14ac:dyDescent="0.2">
      <c r="A55" t="s">
        <v>162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 t="s">
        <v>163</v>
      </c>
      <c r="H55" t="s">
        <v>164</v>
      </c>
      <c r="I55" t="s">
        <v>17</v>
      </c>
    </row>
    <row r="56" spans="1:9" x14ac:dyDescent="0.2">
      <c r="A56" t="s">
        <v>165</v>
      </c>
      <c r="B56" t="s">
        <v>10</v>
      </c>
      <c r="C56" t="s">
        <v>11</v>
      </c>
      <c r="D56" t="s">
        <v>12</v>
      </c>
      <c r="E56" t="s">
        <v>13</v>
      </c>
      <c r="F56" t="s">
        <v>14</v>
      </c>
      <c r="G56" t="s">
        <v>166</v>
      </c>
      <c r="H56" t="s">
        <v>167</v>
      </c>
      <c r="I56" t="s">
        <v>17</v>
      </c>
    </row>
    <row r="57" spans="1:9" x14ac:dyDescent="0.2">
      <c r="A57" t="s">
        <v>168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 t="s">
        <v>169</v>
      </c>
      <c r="H57" t="s">
        <v>170</v>
      </c>
      <c r="I57" t="s">
        <v>17</v>
      </c>
    </row>
    <row r="58" spans="1:9" x14ac:dyDescent="0.2">
      <c r="A58" t="s">
        <v>171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 t="s">
        <v>172</v>
      </c>
      <c r="H58" t="s">
        <v>173</v>
      </c>
      <c r="I58" t="s">
        <v>17</v>
      </c>
    </row>
    <row r="59" spans="1:9" x14ac:dyDescent="0.2">
      <c r="A59" t="s">
        <v>174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 t="s">
        <v>175</v>
      </c>
      <c r="H59" t="s">
        <v>176</v>
      </c>
      <c r="I59" t="s">
        <v>17</v>
      </c>
    </row>
    <row r="60" spans="1:9" x14ac:dyDescent="0.2">
      <c r="A60" t="s">
        <v>177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 t="s">
        <v>178</v>
      </c>
      <c r="H60" t="s">
        <v>179</v>
      </c>
      <c r="I60" t="s">
        <v>17</v>
      </c>
    </row>
    <row r="61" spans="1:9" x14ac:dyDescent="0.2">
      <c r="A61" t="s">
        <v>180</v>
      </c>
      <c r="B61" t="s">
        <v>10</v>
      </c>
      <c r="C61" t="s">
        <v>11</v>
      </c>
      <c r="D61" t="s">
        <v>12</v>
      </c>
      <c r="E61" t="s">
        <v>13</v>
      </c>
      <c r="F61" t="s">
        <v>14</v>
      </c>
      <c r="G61" t="s">
        <v>181</v>
      </c>
      <c r="H61" t="s">
        <v>182</v>
      </c>
      <c r="I61" t="s">
        <v>17</v>
      </c>
    </row>
    <row r="62" spans="1:9" x14ac:dyDescent="0.2">
      <c r="A62" t="s">
        <v>183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 t="s">
        <v>184</v>
      </c>
      <c r="H62" t="s">
        <v>185</v>
      </c>
      <c r="I62" t="s">
        <v>17</v>
      </c>
    </row>
    <row r="63" spans="1:9" x14ac:dyDescent="0.2">
      <c r="A63" t="s">
        <v>186</v>
      </c>
      <c r="B63" t="s">
        <v>10</v>
      </c>
      <c r="C63" t="s">
        <v>11</v>
      </c>
      <c r="D63" t="s">
        <v>12</v>
      </c>
      <c r="E63" t="s">
        <v>13</v>
      </c>
      <c r="F63" t="s">
        <v>14</v>
      </c>
      <c r="G63" t="s">
        <v>187</v>
      </c>
      <c r="H63" t="s">
        <v>188</v>
      </c>
      <c r="I63" t="s">
        <v>17</v>
      </c>
    </row>
    <row r="64" spans="1:9" x14ac:dyDescent="0.2">
      <c r="A64" t="s">
        <v>189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 t="s">
        <v>190</v>
      </c>
      <c r="H64" t="s">
        <v>20</v>
      </c>
      <c r="I64" t="s">
        <v>20</v>
      </c>
    </row>
    <row r="65" spans="1:9" x14ac:dyDescent="0.2">
      <c r="A65" t="s">
        <v>191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192</v>
      </c>
      <c r="H65" t="s">
        <v>193</v>
      </c>
      <c r="I65" t="s">
        <v>17</v>
      </c>
    </row>
    <row r="66" spans="1:9" x14ac:dyDescent="0.2">
      <c r="A66" t="s">
        <v>194</v>
      </c>
      <c r="B66" t="s">
        <v>10</v>
      </c>
      <c r="C66" t="s">
        <v>11</v>
      </c>
      <c r="D66" t="s">
        <v>12</v>
      </c>
      <c r="E66" t="s">
        <v>13</v>
      </c>
      <c r="F66" t="s">
        <v>14</v>
      </c>
      <c r="G66" t="s">
        <v>195</v>
      </c>
      <c r="H66" t="s">
        <v>196</v>
      </c>
      <c r="I66" t="s">
        <v>17</v>
      </c>
    </row>
    <row r="67" spans="1:9" x14ac:dyDescent="0.2">
      <c r="A67" t="s">
        <v>197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 t="s">
        <v>198</v>
      </c>
      <c r="H67" t="s">
        <v>199</v>
      </c>
      <c r="I67" t="s">
        <v>17</v>
      </c>
    </row>
    <row r="68" spans="1:9" x14ac:dyDescent="0.2">
      <c r="A68" t="s">
        <v>200</v>
      </c>
      <c r="B68" t="s">
        <v>10</v>
      </c>
      <c r="C68" t="s">
        <v>11</v>
      </c>
      <c r="D68" t="s">
        <v>12</v>
      </c>
      <c r="E68" t="s">
        <v>13</v>
      </c>
      <c r="F68" t="s">
        <v>14</v>
      </c>
      <c r="G68" t="s">
        <v>201</v>
      </c>
      <c r="H68" t="s">
        <v>202</v>
      </c>
      <c r="I68" t="s">
        <v>17</v>
      </c>
    </row>
    <row r="69" spans="1:9" x14ac:dyDescent="0.2">
      <c r="A69" t="s">
        <v>203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 t="s">
        <v>204</v>
      </c>
      <c r="H69" t="s">
        <v>205</v>
      </c>
      <c r="I69" t="s">
        <v>17</v>
      </c>
    </row>
    <row r="70" spans="1:9" x14ac:dyDescent="0.2">
      <c r="A70" t="s">
        <v>206</v>
      </c>
      <c r="B70" t="s">
        <v>10</v>
      </c>
      <c r="C70" t="s">
        <v>11</v>
      </c>
      <c r="D70" t="s">
        <v>12</v>
      </c>
      <c r="E70" t="s">
        <v>13</v>
      </c>
      <c r="F70" t="s">
        <v>14</v>
      </c>
      <c r="G70" t="s">
        <v>207</v>
      </c>
      <c r="H70" t="s">
        <v>208</v>
      </c>
      <c r="I70" t="s">
        <v>17</v>
      </c>
    </row>
    <row r="71" spans="1:9" x14ac:dyDescent="0.2">
      <c r="A71" t="s">
        <v>209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 t="s">
        <v>210</v>
      </c>
      <c r="H71" t="s">
        <v>20</v>
      </c>
      <c r="I71" t="s">
        <v>20</v>
      </c>
    </row>
    <row r="72" spans="1:9" x14ac:dyDescent="0.2">
      <c r="A72" t="s">
        <v>211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 t="s">
        <v>212</v>
      </c>
      <c r="H72" t="s">
        <v>213</v>
      </c>
      <c r="I72" t="s">
        <v>17</v>
      </c>
    </row>
    <row r="73" spans="1:9" x14ac:dyDescent="0.2">
      <c r="A73" t="s">
        <v>214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G73" t="s">
        <v>215</v>
      </c>
      <c r="H73" t="s">
        <v>216</v>
      </c>
      <c r="I73" t="s">
        <v>17</v>
      </c>
    </row>
    <row r="74" spans="1:9" x14ac:dyDescent="0.2">
      <c r="A74" t="s">
        <v>217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 t="s">
        <v>218</v>
      </c>
      <c r="H74" t="s">
        <v>219</v>
      </c>
      <c r="I74" t="s">
        <v>17</v>
      </c>
    </row>
    <row r="75" spans="1:9" x14ac:dyDescent="0.2">
      <c r="A75" t="s">
        <v>220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 t="s">
        <v>221</v>
      </c>
      <c r="H75" t="s">
        <v>20</v>
      </c>
      <c r="I75" t="s">
        <v>20</v>
      </c>
    </row>
    <row r="76" spans="1:9" x14ac:dyDescent="0.2">
      <c r="A76" t="s">
        <v>222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 t="s">
        <v>223</v>
      </c>
      <c r="H76" t="s">
        <v>224</v>
      </c>
      <c r="I76" t="s">
        <v>17</v>
      </c>
    </row>
    <row r="77" spans="1:9" x14ac:dyDescent="0.2">
      <c r="A77" t="s">
        <v>225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 t="s">
        <v>226</v>
      </c>
      <c r="H77" t="s">
        <v>227</v>
      </c>
      <c r="I77" t="s">
        <v>17</v>
      </c>
    </row>
    <row r="78" spans="1:9" x14ac:dyDescent="0.2">
      <c r="A78" t="s">
        <v>228</v>
      </c>
      <c r="B78" t="s">
        <v>10</v>
      </c>
      <c r="C78" t="s">
        <v>11</v>
      </c>
      <c r="D78" t="s">
        <v>12</v>
      </c>
      <c r="E78" t="s">
        <v>13</v>
      </c>
      <c r="F78" t="s">
        <v>14</v>
      </c>
      <c r="G78" t="s">
        <v>229</v>
      </c>
      <c r="H78" t="s">
        <v>230</v>
      </c>
      <c r="I78" t="s">
        <v>17</v>
      </c>
    </row>
    <row r="79" spans="1:9" x14ac:dyDescent="0.2">
      <c r="A79" t="s">
        <v>231</v>
      </c>
      <c r="B79" t="s">
        <v>10</v>
      </c>
      <c r="C79" t="s">
        <v>11</v>
      </c>
      <c r="D79" t="s">
        <v>12</v>
      </c>
      <c r="E79" t="s">
        <v>13</v>
      </c>
      <c r="F79" t="s">
        <v>14</v>
      </c>
      <c r="G79" t="s">
        <v>232</v>
      </c>
      <c r="H79" t="s">
        <v>233</v>
      </c>
      <c r="I79" t="s">
        <v>17</v>
      </c>
    </row>
    <row r="80" spans="1:9" x14ac:dyDescent="0.2">
      <c r="A80" t="s">
        <v>234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235</v>
      </c>
      <c r="H80" t="s">
        <v>236</v>
      </c>
      <c r="I80" t="s">
        <v>17</v>
      </c>
    </row>
    <row r="81" spans="1:9" x14ac:dyDescent="0.2">
      <c r="A81" t="s">
        <v>237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 t="s">
        <v>238</v>
      </c>
      <c r="H81" t="s">
        <v>20</v>
      </c>
      <c r="I81" t="s">
        <v>20</v>
      </c>
    </row>
    <row r="82" spans="1:9" x14ac:dyDescent="0.2">
      <c r="A82" t="s">
        <v>239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 t="s">
        <v>240</v>
      </c>
      <c r="H82" t="s">
        <v>20</v>
      </c>
      <c r="I82" t="s">
        <v>20</v>
      </c>
    </row>
    <row r="83" spans="1:9" x14ac:dyDescent="0.2">
      <c r="A83" t="s">
        <v>241</v>
      </c>
      <c r="B83" t="s">
        <v>10</v>
      </c>
      <c r="C83" t="s">
        <v>11</v>
      </c>
      <c r="D83" t="s">
        <v>12</v>
      </c>
      <c r="E83" t="s">
        <v>13</v>
      </c>
      <c r="F83" t="s">
        <v>14</v>
      </c>
      <c r="G83" t="s">
        <v>242</v>
      </c>
      <c r="H83" t="s">
        <v>243</v>
      </c>
      <c r="I83" t="s">
        <v>17</v>
      </c>
    </row>
    <row r="84" spans="1:9" x14ac:dyDescent="0.2">
      <c r="A84" t="s">
        <v>244</v>
      </c>
      <c r="B84" t="s">
        <v>10</v>
      </c>
      <c r="C84" t="s">
        <v>11</v>
      </c>
      <c r="D84" t="s">
        <v>12</v>
      </c>
      <c r="E84" t="s">
        <v>13</v>
      </c>
      <c r="F84" t="s">
        <v>14</v>
      </c>
      <c r="G84" t="s">
        <v>245</v>
      </c>
      <c r="H84" t="s">
        <v>20</v>
      </c>
      <c r="I84" t="s">
        <v>20</v>
      </c>
    </row>
    <row r="85" spans="1:9" x14ac:dyDescent="0.2">
      <c r="A85" t="s">
        <v>246</v>
      </c>
      <c r="B85" t="s">
        <v>10</v>
      </c>
      <c r="C85" t="s">
        <v>11</v>
      </c>
      <c r="D85" t="s">
        <v>12</v>
      </c>
      <c r="E85" t="s">
        <v>13</v>
      </c>
      <c r="F85" t="s">
        <v>14</v>
      </c>
      <c r="G85" t="s">
        <v>247</v>
      </c>
      <c r="H85" t="s">
        <v>248</v>
      </c>
      <c r="I85" t="s">
        <v>17</v>
      </c>
    </row>
    <row r="86" spans="1:9" x14ac:dyDescent="0.2">
      <c r="A86" t="s">
        <v>249</v>
      </c>
      <c r="B86" t="s">
        <v>10</v>
      </c>
      <c r="C86" t="s">
        <v>11</v>
      </c>
      <c r="D86" t="s">
        <v>12</v>
      </c>
      <c r="E86" t="s">
        <v>13</v>
      </c>
      <c r="F86" t="s">
        <v>14</v>
      </c>
      <c r="G86" t="s">
        <v>250</v>
      </c>
      <c r="H86" t="s">
        <v>251</v>
      </c>
      <c r="I86" t="s">
        <v>17</v>
      </c>
    </row>
    <row r="87" spans="1:9" x14ac:dyDescent="0.2">
      <c r="A87" t="s">
        <v>252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 t="s">
        <v>253</v>
      </c>
      <c r="H87" t="s">
        <v>254</v>
      </c>
      <c r="I87" t="s">
        <v>17</v>
      </c>
    </row>
    <row r="88" spans="1:9" x14ac:dyDescent="0.2">
      <c r="A88" t="s">
        <v>255</v>
      </c>
      <c r="B88" t="s">
        <v>10</v>
      </c>
      <c r="C88" t="s">
        <v>11</v>
      </c>
      <c r="D88" t="s">
        <v>12</v>
      </c>
      <c r="E88" t="s">
        <v>13</v>
      </c>
      <c r="F88" t="s">
        <v>14</v>
      </c>
      <c r="G88" t="s">
        <v>256</v>
      </c>
      <c r="H88" t="s">
        <v>257</v>
      </c>
      <c r="I88" t="s">
        <v>17</v>
      </c>
    </row>
    <row r="89" spans="1:9" x14ac:dyDescent="0.2">
      <c r="A89" t="s">
        <v>258</v>
      </c>
      <c r="B89" t="s">
        <v>10</v>
      </c>
      <c r="C89" t="s">
        <v>11</v>
      </c>
      <c r="D89" t="s">
        <v>12</v>
      </c>
      <c r="E89" t="s">
        <v>13</v>
      </c>
      <c r="F89" t="s">
        <v>14</v>
      </c>
      <c r="G89" t="s">
        <v>259</v>
      </c>
      <c r="H89" t="s">
        <v>20</v>
      </c>
      <c r="I89" t="s">
        <v>20</v>
      </c>
    </row>
    <row r="90" spans="1:9" x14ac:dyDescent="0.2">
      <c r="A90" t="s">
        <v>260</v>
      </c>
      <c r="B90" t="s">
        <v>10</v>
      </c>
      <c r="C90" t="s">
        <v>11</v>
      </c>
      <c r="D90" t="s">
        <v>12</v>
      </c>
      <c r="E90" t="s">
        <v>13</v>
      </c>
      <c r="F90" t="s">
        <v>14</v>
      </c>
      <c r="G90" t="s">
        <v>261</v>
      </c>
      <c r="H90" t="s">
        <v>262</v>
      </c>
      <c r="I90" t="s">
        <v>17</v>
      </c>
    </row>
    <row r="91" spans="1:9" x14ac:dyDescent="0.2">
      <c r="A91" t="s">
        <v>263</v>
      </c>
      <c r="B91" t="s">
        <v>10</v>
      </c>
      <c r="C91" t="s">
        <v>11</v>
      </c>
      <c r="D91" t="s">
        <v>12</v>
      </c>
      <c r="E91" t="s">
        <v>13</v>
      </c>
      <c r="F91" t="s">
        <v>14</v>
      </c>
      <c r="G91" t="s">
        <v>264</v>
      </c>
      <c r="H91" t="s">
        <v>20</v>
      </c>
      <c r="I91" t="s">
        <v>20</v>
      </c>
    </row>
    <row r="92" spans="1:9" x14ac:dyDescent="0.2">
      <c r="A92" t="s">
        <v>265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 t="s">
        <v>266</v>
      </c>
      <c r="H92" t="s">
        <v>267</v>
      </c>
      <c r="I92" t="s">
        <v>17</v>
      </c>
    </row>
    <row r="93" spans="1:9" x14ac:dyDescent="0.2">
      <c r="A93" t="s">
        <v>268</v>
      </c>
      <c r="B93" t="s">
        <v>10</v>
      </c>
      <c r="C93" t="s">
        <v>11</v>
      </c>
      <c r="D93" t="s">
        <v>12</v>
      </c>
      <c r="E93" t="s">
        <v>13</v>
      </c>
      <c r="F93" t="s">
        <v>14</v>
      </c>
      <c r="G93" t="s">
        <v>269</v>
      </c>
      <c r="H93" t="s">
        <v>270</v>
      </c>
      <c r="I93" t="s">
        <v>17</v>
      </c>
    </row>
    <row r="94" spans="1:9" x14ac:dyDescent="0.2">
      <c r="A94" t="s">
        <v>271</v>
      </c>
      <c r="B94" t="s">
        <v>10</v>
      </c>
      <c r="C94" t="s">
        <v>11</v>
      </c>
      <c r="D94" t="s">
        <v>12</v>
      </c>
      <c r="E94" t="s">
        <v>13</v>
      </c>
      <c r="F94" t="s">
        <v>14</v>
      </c>
      <c r="G94" t="s">
        <v>272</v>
      </c>
      <c r="H94" t="s">
        <v>273</v>
      </c>
      <c r="I94" t="s">
        <v>17</v>
      </c>
    </row>
    <row r="95" spans="1:9" x14ac:dyDescent="0.2">
      <c r="A95" t="s">
        <v>274</v>
      </c>
      <c r="B95" t="s">
        <v>10</v>
      </c>
      <c r="C95" t="s">
        <v>11</v>
      </c>
      <c r="D95" t="s">
        <v>12</v>
      </c>
      <c r="E95" t="s">
        <v>13</v>
      </c>
      <c r="F95" t="s">
        <v>14</v>
      </c>
      <c r="G95" t="s">
        <v>275</v>
      </c>
      <c r="H95" t="s">
        <v>276</v>
      </c>
      <c r="I95" t="s">
        <v>17</v>
      </c>
    </row>
    <row r="96" spans="1:9" x14ac:dyDescent="0.2">
      <c r="A96" t="s">
        <v>277</v>
      </c>
      <c r="B96" t="s">
        <v>10</v>
      </c>
      <c r="C96" t="s">
        <v>11</v>
      </c>
      <c r="D96" t="s">
        <v>12</v>
      </c>
      <c r="E96" t="s">
        <v>13</v>
      </c>
      <c r="F96" t="s">
        <v>14</v>
      </c>
      <c r="G96" t="s">
        <v>278</v>
      </c>
      <c r="H96" t="s">
        <v>279</v>
      </c>
      <c r="I96" t="s">
        <v>17</v>
      </c>
    </row>
    <row r="97" spans="1:9" x14ac:dyDescent="0.2">
      <c r="A97" t="s">
        <v>280</v>
      </c>
      <c r="B97" t="s">
        <v>10</v>
      </c>
      <c r="C97" t="s">
        <v>11</v>
      </c>
      <c r="D97" t="s">
        <v>12</v>
      </c>
      <c r="E97" t="s">
        <v>13</v>
      </c>
      <c r="F97" t="s">
        <v>14</v>
      </c>
      <c r="G97" t="s">
        <v>281</v>
      </c>
      <c r="H97" t="s">
        <v>282</v>
      </c>
      <c r="I97" t="s">
        <v>17</v>
      </c>
    </row>
    <row r="98" spans="1:9" x14ac:dyDescent="0.2">
      <c r="A98" t="s">
        <v>283</v>
      </c>
      <c r="B98" t="s">
        <v>10</v>
      </c>
      <c r="C98" t="s">
        <v>11</v>
      </c>
      <c r="D98" t="s">
        <v>12</v>
      </c>
      <c r="E98" t="s">
        <v>13</v>
      </c>
      <c r="F98" t="s">
        <v>14</v>
      </c>
      <c r="G98" t="s">
        <v>284</v>
      </c>
      <c r="H98" t="s">
        <v>285</v>
      </c>
      <c r="I98" t="s">
        <v>17</v>
      </c>
    </row>
    <row r="99" spans="1:9" x14ac:dyDescent="0.2">
      <c r="A99" t="s">
        <v>286</v>
      </c>
      <c r="B99" t="s">
        <v>10</v>
      </c>
      <c r="C99" t="s">
        <v>11</v>
      </c>
      <c r="D99" t="s">
        <v>12</v>
      </c>
      <c r="E99" t="s">
        <v>13</v>
      </c>
      <c r="F99" t="s">
        <v>14</v>
      </c>
      <c r="G99" t="s">
        <v>287</v>
      </c>
      <c r="H99" t="s">
        <v>288</v>
      </c>
      <c r="I99" t="s">
        <v>17</v>
      </c>
    </row>
    <row r="100" spans="1:9" x14ac:dyDescent="0.2">
      <c r="A100" t="s">
        <v>289</v>
      </c>
      <c r="B100" t="s">
        <v>10</v>
      </c>
      <c r="C100" t="s">
        <v>11</v>
      </c>
      <c r="D100" t="s">
        <v>12</v>
      </c>
      <c r="E100" t="s">
        <v>13</v>
      </c>
      <c r="F100" t="s">
        <v>14</v>
      </c>
      <c r="G100" t="s">
        <v>290</v>
      </c>
      <c r="H100" t="s">
        <v>291</v>
      </c>
      <c r="I100" t="s">
        <v>17</v>
      </c>
    </row>
    <row r="101" spans="1:9" x14ac:dyDescent="0.2">
      <c r="A101" t="s">
        <v>292</v>
      </c>
      <c r="B101" t="s">
        <v>10</v>
      </c>
      <c r="C101" t="s">
        <v>11</v>
      </c>
      <c r="D101" t="s">
        <v>12</v>
      </c>
      <c r="E101" t="s">
        <v>13</v>
      </c>
      <c r="F101" t="s">
        <v>14</v>
      </c>
      <c r="G101" t="s">
        <v>293</v>
      </c>
      <c r="H101" t="s">
        <v>20</v>
      </c>
      <c r="I101" t="s">
        <v>20</v>
      </c>
    </row>
    <row r="102" spans="1:9" x14ac:dyDescent="0.2">
      <c r="A102" t="s">
        <v>294</v>
      </c>
      <c r="B102" t="s">
        <v>10</v>
      </c>
      <c r="C102" t="s">
        <v>11</v>
      </c>
      <c r="D102" t="s">
        <v>12</v>
      </c>
      <c r="E102" t="s">
        <v>13</v>
      </c>
      <c r="F102" t="s">
        <v>14</v>
      </c>
      <c r="G102" t="s">
        <v>295</v>
      </c>
      <c r="H102" t="s">
        <v>20</v>
      </c>
      <c r="I102" t="s">
        <v>20</v>
      </c>
    </row>
    <row r="103" spans="1:9" x14ac:dyDescent="0.2">
      <c r="A103" t="s">
        <v>296</v>
      </c>
      <c r="B103" t="s">
        <v>10</v>
      </c>
      <c r="C103" t="s">
        <v>11</v>
      </c>
      <c r="D103" t="s">
        <v>12</v>
      </c>
      <c r="E103" t="s">
        <v>13</v>
      </c>
      <c r="F103" t="s">
        <v>14</v>
      </c>
      <c r="G103" t="s">
        <v>297</v>
      </c>
      <c r="H103" t="s">
        <v>298</v>
      </c>
      <c r="I103" t="s">
        <v>17</v>
      </c>
    </row>
    <row r="104" spans="1:9" x14ac:dyDescent="0.2">
      <c r="A104" t="s">
        <v>299</v>
      </c>
      <c r="B104" t="s">
        <v>10</v>
      </c>
      <c r="C104" t="s">
        <v>11</v>
      </c>
      <c r="D104" t="s">
        <v>12</v>
      </c>
      <c r="E104" t="s">
        <v>13</v>
      </c>
      <c r="F104" t="s">
        <v>14</v>
      </c>
      <c r="G104" t="s">
        <v>300</v>
      </c>
      <c r="H104" t="s">
        <v>301</v>
      </c>
      <c r="I104" t="s">
        <v>17</v>
      </c>
    </row>
    <row r="105" spans="1:9" x14ac:dyDescent="0.2">
      <c r="A105" t="s">
        <v>302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G105" t="s">
        <v>303</v>
      </c>
      <c r="H105" t="s">
        <v>304</v>
      </c>
      <c r="I105" t="s">
        <v>17</v>
      </c>
    </row>
    <row r="106" spans="1:9" x14ac:dyDescent="0.2">
      <c r="A106" t="s">
        <v>305</v>
      </c>
      <c r="B106" t="s">
        <v>10</v>
      </c>
      <c r="C106" t="s">
        <v>11</v>
      </c>
      <c r="D106" t="s">
        <v>12</v>
      </c>
      <c r="E106" t="s">
        <v>13</v>
      </c>
      <c r="F106" t="s">
        <v>14</v>
      </c>
      <c r="G106" t="s">
        <v>303</v>
      </c>
      <c r="H106" t="s">
        <v>306</v>
      </c>
      <c r="I106" t="s">
        <v>17</v>
      </c>
    </row>
    <row r="107" spans="1:9" x14ac:dyDescent="0.2">
      <c r="A107" t="s">
        <v>307</v>
      </c>
      <c r="B107" t="s">
        <v>10</v>
      </c>
      <c r="C107" t="s">
        <v>11</v>
      </c>
      <c r="D107" t="s">
        <v>12</v>
      </c>
      <c r="E107" t="s">
        <v>13</v>
      </c>
      <c r="F107" t="s">
        <v>14</v>
      </c>
      <c r="G107" t="s">
        <v>308</v>
      </c>
      <c r="H107" t="s">
        <v>309</v>
      </c>
      <c r="I107" t="s">
        <v>17</v>
      </c>
    </row>
    <row r="108" spans="1:9" x14ac:dyDescent="0.2">
      <c r="A108" t="s">
        <v>310</v>
      </c>
      <c r="B108" t="s">
        <v>10</v>
      </c>
      <c r="C108" t="s">
        <v>11</v>
      </c>
      <c r="D108" t="s">
        <v>12</v>
      </c>
      <c r="E108" t="s">
        <v>13</v>
      </c>
      <c r="F108" t="s">
        <v>14</v>
      </c>
      <c r="G108" t="s">
        <v>311</v>
      </c>
      <c r="H108" t="s">
        <v>312</v>
      </c>
      <c r="I108" t="s">
        <v>17</v>
      </c>
    </row>
    <row r="109" spans="1:9" x14ac:dyDescent="0.2">
      <c r="A109" t="s">
        <v>313</v>
      </c>
      <c r="B109" t="s">
        <v>10</v>
      </c>
      <c r="C109" t="s">
        <v>11</v>
      </c>
      <c r="D109" t="s">
        <v>12</v>
      </c>
      <c r="E109" t="s">
        <v>13</v>
      </c>
      <c r="F109" t="s">
        <v>14</v>
      </c>
      <c r="G109" t="s">
        <v>311</v>
      </c>
      <c r="H109" t="s">
        <v>314</v>
      </c>
      <c r="I109" t="s">
        <v>17</v>
      </c>
    </row>
    <row r="110" spans="1:9" x14ac:dyDescent="0.2">
      <c r="A110" t="s">
        <v>315</v>
      </c>
      <c r="B110" t="s">
        <v>10</v>
      </c>
      <c r="C110" t="s">
        <v>11</v>
      </c>
      <c r="D110" t="s">
        <v>12</v>
      </c>
      <c r="E110" t="s">
        <v>13</v>
      </c>
      <c r="F110" t="s">
        <v>14</v>
      </c>
      <c r="G110" t="s">
        <v>316</v>
      </c>
      <c r="H110" t="s">
        <v>20</v>
      </c>
      <c r="I110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C110-433D-0247-83A1-06DB7A46FF65}">
  <dimension ref="A1:I139"/>
  <sheetViews>
    <sheetView topLeftCell="E45" workbookViewId="0">
      <selection activeCell="B145" sqref="B145"/>
    </sheetView>
  </sheetViews>
  <sheetFormatPr baseColWidth="10" defaultRowHeight="16" x14ac:dyDescent="0.2"/>
  <cols>
    <col min="1" max="1" width="26.6640625" bestFit="1" customWidth="1"/>
    <col min="2" max="2" width="11.83203125" customWidth="1"/>
    <col min="3" max="3" width="14.33203125" customWidth="1"/>
    <col min="4" max="4" width="20" customWidth="1"/>
    <col min="7" max="7" width="20.83203125" customWidth="1"/>
    <col min="8" max="8" width="12.6640625" bestFit="1" customWidth="1"/>
    <col min="9" max="9" width="14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18</v>
      </c>
      <c r="B2" t="s">
        <v>10</v>
      </c>
      <c r="C2" t="s">
        <v>317</v>
      </c>
      <c r="D2" t="s">
        <v>318</v>
      </c>
      <c r="E2" t="s">
        <v>13</v>
      </c>
      <c r="F2" t="s">
        <v>14</v>
      </c>
      <c r="G2" t="s">
        <v>319</v>
      </c>
      <c r="H2" t="s">
        <v>320</v>
      </c>
      <c r="I2" t="s">
        <v>17</v>
      </c>
    </row>
    <row r="3" spans="1:9" x14ac:dyDescent="0.2">
      <c r="A3" t="s">
        <v>21</v>
      </c>
      <c r="B3" t="s">
        <v>10</v>
      </c>
      <c r="C3" t="s">
        <v>317</v>
      </c>
      <c r="D3" t="s">
        <v>318</v>
      </c>
      <c r="E3" t="s">
        <v>13</v>
      </c>
      <c r="F3" t="s">
        <v>14</v>
      </c>
      <c r="G3" t="s">
        <v>321</v>
      </c>
      <c r="H3" t="s">
        <v>322</v>
      </c>
      <c r="I3" t="s">
        <v>17</v>
      </c>
    </row>
    <row r="4" spans="1:9" x14ac:dyDescent="0.2">
      <c r="A4" t="s">
        <v>52</v>
      </c>
      <c r="B4" t="s">
        <v>10</v>
      </c>
      <c r="C4" t="s">
        <v>317</v>
      </c>
      <c r="D4" t="s">
        <v>318</v>
      </c>
      <c r="E4" t="s">
        <v>13</v>
      </c>
      <c r="F4" t="s">
        <v>14</v>
      </c>
      <c r="G4" t="s">
        <v>323</v>
      </c>
      <c r="H4" t="s">
        <v>324</v>
      </c>
      <c r="I4" t="s">
        <v>17</v>
      </c>
    </row>
    <row r="5" spans="1:9" hidden="1" x14ac:dyDescent="0.2">
      <c r="A5" t="s">
        <v>49</v>
      </c>
      <c r="B5" t="s">
        <v>10</v>
      </c>
      <c r="C5" t="s">
        <v>317</v>
      </c>
      <c r="D5" t="s">
        <v>318</v>
      </c>
      <c r="E5" t="s">
        <v>13</v>
      </c>
      <c r="F5" t="s">
        <v>14</v>
      </c>
      <c r="G5" t="s">
        <v>325</v>
      </c>
      <c r="H5" t="s">
        <v>20</v>
      </c>
      <c r="I5" t="s">
        <v>20</v>
      </c>
    </row>
    <row r="6" spans="1:9" x14ac:dyDescent="0.2">
      <c r="A6" t="s">
        <v>90</v>
      </c>
      <c r="B6" t="s">
        <v>10</v>
      </c>
      <c r="C6" t="s">
        <v>317</v>
      </c>
      <c r="D6" t="s">
        <v>318</v>
      </c>
      <c r="E6" t="s">
        <v>13</v>
      </c>
      <c r="F6" t="s">
        <v>14</v>
      </c>
      <c r="G6" t="s">
        <v>326</v>
      </c>
      <c r="H6" t="s">
        <v>327</v>
      </c>
      <c r="I6" t="s">
        <v>17</v>
      </c>
    </row>
    <row r="7" spans="1:9" x14ac:dyDescent="0.2">
      <c r="A7" t="s">
        <v>33</v>
      </c>
      <c r="B7" t="s">
        <v>10</v>
      </c>
      <c r="C7" t="s">
        <v>317</v>
      </c>
      <c r="D7" t="s">
        <v>318</v>
      </c>
      <c r="E7" t="s">
        <v>13</v>
      </c>
      <c r="F7" t="s">
        <v>14</v>
      </c>
      <c r="G7" t="s">
        <v>328</v>
      </c>
      <c r="H7" t="s">
        <v>329</v>
      </c>
      <c r="I7" t="s">
        <v>17</v>
      </c>
    </row>
    <row r="8" spans="1:9" hidden="1" x14ac:dyDescent="0.2">
      <c r="A8" t="s">
        <v>330</v>
      </c>
      <c r="B8" t="s">
        <v>10</v>
      </c>
      <c r="C8" t="s">
        <v>317</v>
      </c>
      <c r="D8" t="s">
        <v>318</v>
      </c>
      <c r="E8" t="s">
        <v>13</v>
      </c>
      <c r="F8" t="s">
        <v>14</v>
      </c>
      <c r="G8" t="s">
        <v>331</v>
      </c>
      <c r="H8" t="s">
        <v>20</v>
      </c>
      <c r="I8" t="s">
        <v>20</v>
      </c>
    </row>
    <row r="9" spans="1:9" x14ac:dyDescent="0.2">
      <c r="A9" t="s">
        <v>9</v>
      </c>
      <c r="B9" t="s">
        <v>10</v>
      </c>
      <c r="C9" t="s">
        <v>317</v>
      </c>
      <c r="D9" t="s">
        <v>318</v>
      </c>
      <c r="E9" t="s">
        <v>13</v>
      </c>
      <c r="F9" t="s">
        <v>14</v>
      </c>
      <c r="G9" t="s">
        <v>332</v>
      </c>
      <c r="H9" t="s">
        <v>333</v>
      </c>
      <c r="I9" t="s">
        <v>17</v>
      </c>
    </row>
    <row r="10" spans="1:9" hidden="1" x14ac:dyDescent="0.2">
      <c r="A10" t="s">
        <v>47</v>
      </c>
      <c r="B10" t="s">
        <v>10</v>
      </c>
      <c r="C10" t="s">
        <v>317</v>
      </c>
      <c r="D10" t="s">
        <v>318</v>
      </c>
      <c r="E10" t="s">
        <v>13</v>
      </c>
      <c r="F10" t="s">
        <v>14</v>
      </c>
      <c r="G10" t="s">
        <v>334</v>
      </c>
      <c r="H10" t="s">
        <v>20</v>
      </c>
      <c r="I10" t="s">
        <v>20</v>
      </c>
    </row>
    <row r="11" spans="1:9" x14ac:dyDescent="0.2">
      <c r="A11" t="s">
        <v>68</v>
      </c>
      <c r="B11" t="s">
        <v>10</v>
      </c>
      <c r="C11" t="s">
        <v>317</v>
      </c>
      <c r="D11" t="s">
        <v>318</v>
      </c>
      <c r="E11" t="s">
        <v>13</v>
      </c>
      <c r="F11" t="s">
        <v>14</v>
      </c>
      <c r="G11" t="s">
        <v>335</v>
      </c>
      <c r="H11" t="s">
        <v>336</v>
      </c>
      <c r="I11" t="s">
        <v>17</v>
      </c>
    </row>
    <row r="12" spans="1:9" x14ac:dyDescent="0.2">
      <c r="A12" t="s">
        <v>36</v>
      </c>
      <c r="B12" t="s">
        <v>10</v>
      </c>
      <c r="C12" t="s">
        <v>317</v>
      </c>
      <c r="D12" t="s">
        <v>318</v>
      </c>
      <c r="E12" t="s">
        <v>13</v>
      </c>
      <c r="F12" t="s">
        <v>14</v>
      </c>
      <c r="G12" t="s">
        <v>337</v>
      </c>
      <c r="H12" t="s">
        <v>338</v>
      </c>
      <c r="I12" t="s">
        <v>17</v>
      </c>
    </row>
    <row r="13" spans="1:9" x14ac:dyDescent="0.2">
      <c r="A13" t="s">
        <v>27</v>
      </c>
      <c r="B13" t="s">
        <v>10</v>
      </c>
      <c r="C13" t="s">
        <v>317</v>
      </c>
      <c r="D13" t="s">
        <v>318</v>
      </c>
      <c r="E13" t="s">
        <v>13</v>
      </c>
      <c r="F13" t="s">
        <v>14</v>
      </c>
      <c r="G13" t="s">
        <v>339</v>
      </c>
      <c r="H13" t="s">
        <v>340</v>
      </c>
      <c r="I13" t="s">
        <v>17</v>
      </c>
    </row>
    <row r="14" spans="1:9" x14ac:dyDescent="0.2">
      <c r="A14" t="s">
        <v>74</v>
      </c>
      <c r="B14" t="s">
        <v>10</v>
      </c>
      <c r="C14" t="s">
        <v>317</v>
      </c>
      <c r="D14" t="s">
        <v>318</v>
      </c>
      <c r="E14" t="s">
        <v>13</v>
      </c>
      <c r="F14" t="s">
        <v>14</v>
      </c>
      <c r="G14" t="s">
        <v>341</v>
      </c>
      <c r="H14" t="s">
        <v>342</v>
      </c>
      <c r="I14" t="s">
        <v>17</v>
      </c>
    </row>
    <row r="15" spans="1:9" x14ac:dyDescent="0.2">
      <c r="A15" t="s">
        <v>343</v>
      </c>
      <c r="B15" t="s">
        <v>10</v>
      </c>
      <c r="C15" t="s">
        <v>317</v>
      </c>
      <c r="D15" t="s">
        <v>318</v>
      </c>
      <c r="E15" t="s">
        <v>13</v>
      </c>
      <c r="F15" t="s">
        <v>14</v>
      </c>
      <c r="G15" t="s">
        <v>344</v>
      </c>
      <c r="H15" t="s">
        <v>345</v>
      </c>
      <c r="I15" t="s">
        <v>17</v>
      </c>
    </row>
    <row r="16" spans="1:9" x14ac:dyDescent="0.2">
      <c r="A16" t="s">
        <v>30</v>
      </c>
      <c r="B16" t="s">
        <v>10</v>
      </c>
      <c r="C16" t="s">
        <v>317</v>
      </c>
      <c r="D16" t="s">
        <v>318</v>
      </c>
      <c r="E16" t="s">
        <v>13</v>
      </c>
      <c r="F16" t="s">
        <v>14</v>
      </c>
      <c r="G16" t="s">
        <v>346</v>
      </c>
      <c r="H16" t="s">
        <v>347</v>
      </c>
      <c r="I16" t="s">
        <v>17</v>
      </c>
    </row>
    <row r="17" spans="1:9" x14ac:dyDescent="0.2">
      <c r="A17" t="s">
        <v>76</v>
      </c>
      <c r="B17" t="s">
        <v>10</v>
      </c>
      <c r="C17" t="s">
        <v>317</v>
      </c>
      <c r="D17" t="s">
        <v>318</v>
      </c>
      <c r="E17" t="s">
        <v>13</v>
      </c>
      <c r="F17" t="s">
        <v>14</v>
      </c>
      <c r="G17" t="s">
        <v>348</v>
      </c>
      <c r="H17" t="s">
        <v>349</v>
      </c>
      <c r="I17" t="s">
        <v>17</v>
      </c>
    </row>
    <row r="18" spans="1:9" x14ac:dyDescent="0.2">
      <c r="A18" t="s">
        <v>65</v>
      </c>
      <c r="B18" t="s">
        <v>10</v>
      </c>
      <c r="C18" t="s">
        <v>317</v>
      </c>
      <c r="D18" t="s">
        <v>318</v>
      </c>
      <c r="E18" t="s">
        <v>13</v>
      </c>
      <c r="F18" t="s">
        <v>14</v>
      </c>
      <c r="G18" t="s">
        <v>350</v>
      </c>
      <c r="H18" t="s">
        <v>351</v>
      </c>
      <c r="I18" t="s">
        <v>17</v>
      </c>
    </row>
    <row r="19" spans="1:9" hidden="1" x14ac:dyDescent="0.2">
      <c r="A19" t="s">
        <v>352</v>
      </c>
      <c r="B19" t="s">
        <v>10</v>
      </c>
      <c r="C19" t="s">
        <v>317</v>
      </c>
      <c r="D19" t="s">
        <v>318</v>
      </c>
      <c r="E19" t="s">
        <v>13</v>
      </c>
      <c r="F19" t="s">
        <v>14</v>
      </c>
      <c r="G19" t="s">
        <v>353</v>
      </c>
      <c r="H19" t="s">
        <v>20</v>
      </c>
      <c r="I19" t="s">
        <v>20</v>
      </c>
    </row>
    <row r="20" spans="1:9" x14ac:dyDescent="0.2">
      <c r="A20" t="s">
        <v>58</v>
      </c>
      <c r="B20" t="s">
        <v>10</v>
      </c>
      <c r="C20" t="s">
        <v>317</v>
      </c>
      <c r="D20" t="s">
        <v>318</v>
      </c>
      <c r="E20" t="s">
        <v>13</v>
      </c>
      <c r="F20" t="s">
        <v>14</v>
      </c>
      <c r="G20" t="s">
        <v>354</v>
      </c>
      <c r="H20" t="s">
        <v>355</v>
      </c>
      <c r="I20" t="s">
        <v>17</v>
      </c>
    </row>
    <row r="21" spans="1:9" x14ac:dyDescent="0.2">
      <c r="A21" t="s">
        <v>356</v>
      </c>
      <c r="B21" t="s">
        <v>10</v>
      </c>
      <c r="C21" t="s">
        <v>317</v>
      </c>
      <c r="D21" t="s">
        <v>318</v>
      </c>
      <c r="E21" t="s">
        <v>13</v>
      </c>
      <c r="F21" t="s">
        <v>14</v>
      </c>
      <c r="G21" t="s">
        <v>357</v>
      </c>
      <c r="H21" t="s">
        <v>358</v>
      </c>
      <c r="I21" t="s">
        <v>17</v>
      </c>
    </row>
    <row r="22" spans="1:9" x14ac:dyDescent="0.2">
      <c r="A22" t="s">
        <v>96</v>
      </c>
      <c r="B22" t="s">
        <v>10</v>
      </c>
      <c r="C22" t="s">
        <v>317</v>
      </c>
      <c r="D22" t="s">
        <v>318</v>
      </c>
      <c r="E22" t="s">
        <v>13</v>
      </c>
      <c r="F22" t="s">
        <v>14</v>
      </c>
      <c r="G22" t="s">
        <v>359</v>
      </c>
      <c r="H22" t="s">
        <v>360</v>
      </c>
      <c r="I22" t="s">
        <v>17</v>
      </c>
    </row>
    <row r="23" spans="1:9" x14ac:dyDescent="0.2">
      <c r="A23" t="s">
        <v>44</v>
      </c>
      <c r="B23" t="s">
        <v>10</v>
      </c>
      <c r="C23" t="s">
        <v>317</v>
      </c>
      <c r="D23" t="s">
        <v>318</v>
      </c>
      <c r="E23" t="s">
        <v>13</v>
      </c>
      <c r="F23" t="s">
        <v>14</v>
      </c>
      <c r="G23" t="s">
        <v>361</v>
      </c>
      <c r="H23" t="s">
        <v>362</v>
      </c>
      <c r="I23" t="s">
        <v>17</v>
      </c>
    </row>
    <row r="24" spans="1:9" x14ac:dyDescent="0.2">
      <c r="A24" t="s">
        <v>119</v>
      </c>
      <c r="B24" t="s">
        <v>10</v>
      </c>
      <c r="C24" t="s">
        <v>317</v>
      </c>
      <c r="D24" t="s">
        <v>318</v>
      </c>
      <c r="E24" t="s">
        <v>13</v>
      </c>
      <c r="F24" t="s">
        <v>14</v>
      </c>
      <c r="G24" t="s">
        <v>363</v>
      </c>
      <c r="H24" t="s">
        <v>364</v>
      </c>
      <c r="I24" t="s">
        <v>17</v>
      </c>
    </row>
    <row r="25" spans="1:9" x14ac:dyDescent="0.2">
      <c r="A25" t="s">
        <v>365</v>
      </c>
      <c r="B25" t="s">
        <v>10</v>
      </c>
      <c r="C25" t="s">
        <v>317</v>
      </c>
      <c r="D25" t="s">
        <v>318</v>
      </c>
      <c r="E25" t="s">
        <v>13</v>
      </c>
      <c r="F25" t="s">
        <v>14</v>
      </c>
      <c r="G25" t="s">
        <v>366</v>
      </c>
      <c r="H25" t="s">
        <v>367</v>
      </c>
      <c r="I25" t="s">
        <v>17</v>
      </c>
    </row>
    <row r="26" spans="1:9" hidden="1" x14ac:dyDescent="0.2">
      <c r="A26" t="s">
        <v>39</v>
      </c>
      <c r="B26" t="s">
        <v>10</v>
      </c>
      <c r="C26" t="s">
        <v>317</v>
      </c>
      <c r="D26" t="s">
        <v>318</v>
      </c>
      <c r="E26" t="s">
        <v>13</v>
      </c>
      <c r="F26" t="s">
        <v>14</v>
      </c>
      <c r="G26" t="s">
        <v>368</v>
      </c>
      <c r="H26" t="s">
        <v>20</v>
      </c>
      <c r="I26" t="s">
        <v>20</v>
      </c>
    </row>
    <row r="27" spans="1:9" x14ac:dyDescent="0.2">
      <c r="A27" t="s">
        <v>156</v>
      </c>
      <c r="B27" t="s">
        <v>10</v>
      </c>
      <c r="C27" t="s">
        <v>317</v>
      </c>
      <c r="D27" t="s">
        <v>318</v>
      </c>
      <c r="E27" t="s">
        <v>13</v>
      </c>
      <c r="F27" t="s">
        <v>14</v>
      </c>
      <c r="G27" t="s">
        <v>369</v>
      </c>
      <c r="H27" t="s">
        <v>370</v>
      </c>
      <c r="I27" t="s">
        <v>17</v>
      </c>
    </row>
    <row r="28" spans="1:9" x14ac:dyDescent="0.2">
      <c r="A28" t="s">
        <v>60</v>
      </c>
      <c r="B28" t="s">
        <v>10</v>
      </c>
      <c r="C28" t="s">
        <v>317</v>
      </c>
      <c r="D28" t="s">
        <v>318</v>
      </c>
      <c r="E28" t="s">
        <v>13</v>
      </c>
      <c r="F28" t="s">
        <v>14</v>
      </c>
      <c r="G28" t="s">
        <v>371</v>
      </c>
      <c r="H28" t="s">
        <v>372</v>
      </c>
      <c r="I28" t="s">
        <v>17</v>
      </c>
    </row>
    <row r="29" spans="1:9" x14ac:dyDescent="0.2">
      <c r="A29" t="s">
        <v>24</v>
      </c>
      <c r="B29" t="s">
        <v>10</v>
      </c>
      <c r="C29" t="s">
        <v>317</v>
      </c>
      <c r="D29" t="s">
        <v>318</v>
      </c>
      <c r="E29" t="s">
        <v>13</v>
      </c>
      <c r="F29" t="s">
        <v>14</v>
      </c>
      <c r="G29" t="s">
        <v>373</v>
      </c>
      <c r="H29" t="s">
        <v>374</v>
      </c>
      <c r="I29" t="s">
        <v>17</v>
      </c>
    </row>
    <row r="30" spans="1:9" x14ac:dyDescent="0.2">
      <c r="A30" t="s">
        <v>292</v>
      </c>
      <c r="B30" t="s">
        <v>10</v>
      </c>
      <c r="C30" t="s">
        <v>317</v>
      </c>
      <c r="D30" t="s">
        <v>318</v>
      </c>
      <c r="E30" t="s">
        <v>13</v>
      </c>
      <c r="F30" t="s">
        <v>14</v>
      </c>
      <c r="G30" t="s">
        <v>375</v>
      </c>
      <c r="H30" t="s">
        <v>376</v>
      </c>
      <c r="I30" t="s">
        <v>17</v>
      </c>
    </row>
    <row r="31" spans="1:9" x14ac:dyDescent="0.2">
      <c r="A31" t="s">
        <v>99</v>
      </c>
      <c r="B31" t="s">
        <v>10</v>
      </c>
      <c r="C31" t="s">
        <v>317</v>
      </c>
      <c r="D31" t="s">
        <v>318</v>
      </c>
      <c r="E31" t="s">
        <v>13</v>
      </c>
      <c r="F31" t="s">
        <v>14</v>
      </c>
      <c r="G31" t="s">
        <v>377</v>
      </c>
      <c r="H31" t="s">
        <v>378</v>
      </c>
      <c r="I31" t="s">
        <v>17</v>
      </c>
    </row>
    <row r="32" spans="1:9" x14ac:dyDescent="0.2">
      <c r="A32" t="s">
        <v>55</v>
      </c>
      <c r="B32" t="s">
        <v>10</v>
      </c>
      <c r="C32" t="s">
        <v>317</v>
      </c>
      <c r="D32" t="s">
        <v>318</v>
      </c>
      <c r="E32" t="s">
        <v>13</v>
      </c>
      <c r="F32" t="s">
        <v>14</v>
      </c>
      <c r="G32" t="s">
        <v>379</v>
      </c>
      <c r="H32" t="s">
        <v>380</v>
      </c>
      <c r="I32" t="s">
        <v>17</v>
      </c>
    </row>
    <row r="33" spans="1:9" x14ac:dyDescent="0.2">
      <c r="A33" t="s">
        <v>231</v>
      </c>
      <c r="B33" t="s">
        <v>10</v>
      </c>
      <c r="C33" t="s">
        <v>317</v>
      </c>
      <c r="D33" t="s">
        <v>318</v>
      </c>
      <c r="E33" t="s">
        <v>13</v>
      </c>
      <c r="F33" t="s">
        <v>14</v>
      </c>
      <c r="G33" t="s">
        <v>381</v>
      </c>
      <c r="H33" t="s">
        <v>382</v>
      </c>
      <c r="I33" t="s">
        <v>17</v>
      </c>
    </row>
    <row r="34" spans="1:9" x14ac:dyDescent="0.2">
      <c r="A34" t="s">
        <v>84</v>
      </c>
      <c r="B34" t="s">
        <v>10</v>
      </c>
      <c r="C34" t="s">
        <v>317</v>
      </c>
      <c r="D34" t="s">
        <v>318</v>
      </c>
      <c r="E34" t="s">
        <v>13</v>
      </c>
      <c r="F34" t="s">
        <v>14</v>
      </c>
      <c r="G34" t="s">
        <v>383</v>
      </c>
      <c r="H34" t="s">
        <v>384</v>
      </c>
      <c r="I34" t="s">
        <v>17</v>
      </c>
    </row>
    <row r="35" spans="1:9" x14ac:dyDescent="0.2">
      <c r="A35" t="s">
        <v>211</v>
      </c>
      <c r="B35" t="s">
        <v>10</v>
      </c>
      <c r="C35" t="s">
        <v>317</v>
      </c>
      <c r="D35" t="s">
        <v>318</v>
      </c>
      <c r="E35" t="s">
        <v>13</v>
      </c>
      <c r="F35" t="s">
        <v>14</v>
      </c>
      <c r="G35" t="s">
        <v>385</v>
      </c>
      <c r="H35" t="s">
        <v>386</v>
      </c>
      <c r="I35" t="s">
        <v>17</v>
      </c>
    </row>
    <row r="36" spans="1:9" x14ac:dyDescent="0.2">
      <c r="A36" t="s">
        <v>110</v>
      </c>
      <c r="B36" t="s">
        <v>10</v>
      </c>
      <c r="C36" t="s">
        <v>317</v>
      </c>
      <c r="D36" t="s">
        <v>318</v>
      </c>
      <c r="E36" t="s">
        <v>13</v>
      </c>
      <c r="F36" t="s">
        <v>14</v>
      </c>
      <c r="G36" t="s">
        <v>387</v>
      </c>
      <c r="H36" t="s">
        <v>388</v>
      </c>
      <c r="I36" t="s">
        <v>17</v>
      </c>
    </row>
    <row r="37" spans="1:9" x14ac:dyDescent="0.2">
      <c r="A37" t="s">
        <v>71</v>
      </c>
      <c r="B37" t="s">
        <v>10</v>
      </c>
      <c r="C37" t="s">
        <v>317</v>
      </c>
      <c r="D37" t="s">
        <v>318</v>
      </c>
      <c r="E37" t="s">
        <v>13</v>
      </c>
      <c r="F37" t="s">
        <v>14</v>
      </c>
      <c r="G37" t="s">
        <v>389</v>
      </c>
      <c r="H37" t="s">
        <v>390</v>
      </c>
      <c r="I37" t="s">
        <v>17</v>
      </c>
    </row>
    <row r="38" spans="1:9" x14ac:dyDescent="0.2">
      <c r="A38" t="s">
        <v>142</v>
      </c>
      <c r="B38" t="s">
        <v>10</v>
      </c>
      <c r="C38" t="s">
        <v>317</v>
      </c>
      <c r="D38" t="s">
        <v>318</v>
      </c>
      <c r="E38" t="s">
        <v>13</v>
      </c>
      <c r="F38" t="s">
        <v>14</v>
      </c>
      <c r="G38" t="s">
        <v>391</v>
      </c>
      <c r="H38" t="s">
        <v>392</v>
      </c>
      <c r="I38" t="s">
        <v>17</v>
      </c>
    </row>
    <row r="39" spans="1:9" x14ac:dyDescent="0.2">
      <c r="A39" t="s">
        <v>104</v>
      </c>
      <c r="B39" t="s">
        <v>10</v>
      </c>
      <c r="C39" t="s">
        <v>317</v>
      </c>
      <c r="D39" t="s">
        <v>318</v>
      </c>
      <c r="E39" t="s">
        <v>13</v>
      </c>
      <c r="F39" t="s">
        <v>14</v>
      </c>
      <c r="G39" t="s">
        <v>393</v>
      </c>
      <c r="H39" t="s">
        <v>394</v>
      </c>
      <c r="I39" t="s">
        <v>17</v>
      </c>
    </row>
    <row r="40" spans="1:9" x14ac:dyDescent="0.2">
      <c r="A40" t="s">
        <v>145</v>
      </c>
      <c r="B40" t="s">
        <v>10</v>
      </c>
      <c r="C40" t="s">
        <v>317</v>
      </c>
      <c r="D40" t="s">
        <v>318</v>
      </c>
      <c r="E40" t="s">
        <v>13</v>
      </c>
      <c r="F40" t="s">
        <v>14</v>
      </c>
      <c r="G40" t="s">
        <v>395</v>
      </c>
      <c r="H40" t="s">
        <v>396</v>
      </c>
      <c r="I40" t="s">
        <v>17</v>
      </c>
    </row>
    <row r="41" spans="1:9" hidden="1" x14ac:dyDescent="0.2">
      <c r="A41" t="s">
        <v>117</v>
      </c>
      <c r="B41" t="s">
        <v>10</v>
      </c>
      <c r="C41" t="s">
        <v>317</v>
      </c>
      <c r="D41" t="s">
        <v>318</v>
      </c>
      <c r="E41" t="s">
        <v>13</v>
      </c>
      <c r="F41" t="s">
        <v>14</v>
      </c>
      <c r="G41" t="s">
        <v>397</v>
      </c>
      <c r="H41" t="s">
        <v>20</v>
      </c>
      <c r="I41" t="s">
        <v>20</v>
      </c>
    </row>
    <row r="42" spans="1:9" x14ac:dyDescent="0.2">
      <c r="A42" t="s">
        <v>180</v>
      </c>
      <c r="B42" t="s">
        <v>10</v>
      </c>
      <c r="C42" t="s">
        <v>317</v>
      </c>
      <c r="D42" t="s">
        <v>318</v>
      </c>
      <c r="E42" t="s">
        <v>13</v>
      </c>
      <c r="F42" t="s">
        <v>14</v>
      </c>
      <c r="G42" t="s">
        <v>398</v>
      </c>
      <c r="H42" t="s">
        <v>399</v>
      </c>
      <c r="I42" t="s">
        <v>17</v>
      </c>
    </row>
    <row r="43" spans="1:9" x14ac:dyDescent="0.2">
      <c r="A43" t="s">
        <v>168</v>
      </c>
      <c r="B43" t="s">
        <v>10</v>
      </c>
      <c r="C43" t="s">
        <v>317</v>
      </c>
      <c r="D43" t="s">
        <v>318</v>
      </c>
      <c r="E43" t="s">
        <v>13</v>
      </c>
      <c r="F43" t="s">
        <v>14</v>
      </c>
      <c r="G43" t="s">
        <v>400</v>
      </c>
      <c r="H43" t="s">
        <v>401</v>
      </c>
      <c r="I43" t="s">
        <v>17</v>
      </c>
    </row>
    <row r="44" spans="1:9" x14ac:dyDescent="0.2">
      <c r="A44" t="s">
        <v>402</v>
      </c>
      <c r="B44" t="s">
        <v>10</v>
      </c>
      <c r="C44" t="s">
        <v>317</v>
      </c>
      <c r="D44" t="s">
        <v>318</v>
      </c>
      <c r="E44" t="s">
        <v>13</v>
      </c>
      <c r="F44" t="s">
        <v>14</v>
      </c>
      <c r="G44" t="s">
        <v>403</v>
      </c>
      <c r="H44" t="s">
        <v>404</v>
      </c>
      <c r="I44" t="s">
        <v>17</v>
      </c>
    </row>
    <row r="45" spans="1:9" x14ac:dyDescent="0.2">
      <c r="A45" t="s">
        <v>405</v>
      </c>
      <c r="B45" t="s">
        <v>10</v>
      </c>
      <c r="C45" t="s">
        <v>317</v>
      </c>
      <c r="D45" t="s">
        <v>318</v>
      </c>
      <c r="E45" t="s">
        <v>13</v>
      </c>
      <c r="F45" t="s">
        <v>14</v>
      </c>
      <c r="G45" t="s">
        <v>406</v>
      </c>
      <c r="H45" t="s">
        <v>407</v>
      </c>
      <c r="I45" t="s">
        <v>17</v>
      </c>
    </row>
    <row r="46" spans="1:9" x14ac:dyDescent="0.2">
      <c r="A46" t="s">
        <v>283</v>
      </c>
      <c r="B46" t="s">
        <v>10</v>
      </c>
      <c r="C46" t="s">
        <v>317</v>
      </c>
      <c r="D46" t="s">
        <v>318</v>
      </c>
      <c r="E46" t="s">
        <v>13</v>
      </c>
      <c r="F46" t="s">
        <v>14</v>
      </c>
      <c r="G46" t="s">
        <v>408</v>
      </c>
      <c r="H46" t="s">
        <v>409</v>
      </c>
      <c r="I46" t="s">
        <v>17</v>
      </c>
    </row>
    <row r="47" spans="1:9" x14ac:dyDescent="0.2">
      <c r="A47" t="s">
        <v>197</v>
      </c>
      <c r="B47" t="s">
        <v>10</v>
      </c>
      <c r="C47" t="s">
        <v>317</v>
      </c>
      <c r="D47" t="s">
        <v>318</v>
      </c>
      <c r="E47" t="s">
        <v>13</v>
      </c>
      <c r="F47" t="s">
        <v>14</v>
      </c>
      <c r="G47" t="s">
        <v>410</v>
      </c>
      <c r="H47" t="s">
        <v>411</v>
      </c>
      <c r="I47" t="s">
        <v>17</v>
      </c>
    </row>
    <row r="48" spans="1:9" x14ac:dyDescent="0.2">
      <c r="A48" t="s">
        <v>241</v>
      </c>
      <c r="B48" t="s">
        <v>10</v>
      </c>
      <c r="C48" t="s">
        <v>317</v>
      </c>
      <c r="D48" t="s">
        <v>318</v>
      </c>
      <c r="E48" t="s">
        <v>13</v>
      </c>
      <c r="F48" t="s">
        <v>14</v>
      </c>
      <c r="G48" t="s">
        <v>412</v>
      </c>
      <c r="H48" t="s">
        <v>413</v>
      </c>
      <c r="I48" t="s">
        <v>17</v>
      </c>
    </row>
    <row r="49" spans="1:9" x14ac:dyDescent="0.2">
      <c r="A49" t="s">
        <v>41</v>
      </c>
      <c r="B49" t="s">
        <v>10</v>
      </c>
      <c r="C49" t="s">
        <v>317</v>
      </c>
      <c r="D49" t="s">
        <v>318</v>
      </c>
      <c r="E49" t="s">
        <v>13</v>
      </c>
      <c r="F49" t="s">
        <v>14</v>
      </c>
      <c r="G49" t="s">
        <v>414</v>
      </c>
      <c r="H49" t="s">
        <v>415</v>
      </c>
      <c r="I49" t="s">
        <v>17</v>
      </c>
    </row>
    <row r="50" spans="1:9" hidden="1" x14ac:dyDescent="0.2">
      <c r="A50" t="s">
        <v>115</v>
      </c>
      <c r="B50" t="s">
        <v>10</v>
      </c>
      <c r="C50" t="s">
        <v>317</v>
      </c>
      <c r="D50" t="s">
        <v>318</v>
      </c>
      <c r="E50" t="s">
        <v>13</v>
      </c>
      <c r="F50" t="s">
        <v>14</v>
      </c>
      <c r="G50" t="s">
        <v>416</v>
      </c>
      <c r="H50" t="s">
        <v>20</v>
      </c>
      <c r="I50" t="s">
        <v>20</v>
      </c>
    </row>
    <row r="51" spans="1:9" x14ac:dyDescent="0.2">
      <c r="A51" t="s">
        <v>277</v>
      </c>
      <c r="B51" t="s">
        <v>10</v>
      </c>
      <c r="C51" t="s">
        <v>317</v>
      </c>
      <c r="D51" t="s">
        <v>318</v>
      </c>
      <c r="E51" t="s">
        <v>13</v>
      </c>
      <c r="F51" t="s">
        <v>14</v>
      </c>
      <c r="G51" t="s">
        <v>417</v>
      </c>
      <c r="H51" t="s">
        <v>418</v>
      </c>
      <c r="I51" t="s">
        <v>17</v>
      </c>
    </row>
    <row r="52" spans="1:9" x14ac:dyDescent="0.2">
      <c r="A52" t="s">
        <v>63</v>
      </c>
      <c r="B52" t="s">
        <v>10</v>
      </c>
      <c r="C52" t="s">
        <v>317</v>
      </c>
      <c r="D52" t="s">
        <v>318</v>
      </c>
      <c r="E52" t="s">
        <v>13</v>
      </c>
      <c r="F52" t="s">
        <v>14</v>
      </c>
      <c r="G52" t="s">
        <v>419</v>
      </c>
      <c r="H52" t="s">
        <v>420</v>
      </c>
      <c r="I52" t="s">
        <v>17</v>
      </c>
    </row>
    <row r="53" spans="1:9" x14ac:dyDescent="0.2">
      <c r="A53" t="s">
        <v>93</v>
      </c>
      <c r="B53" t="s">
        <v>10</v>
      </c>
      <c r="C53" t="s">
        <v>317</v>
      </c>
      <c r="D53" t="s">
        <v>318</v>
      </c>
      <c r="E53" t="s">
        <v>13</v>
      </c>
      <c r="F53" t="s">
        <v>14</v>
      </c>
      <c r="G53" t="s">
        <v>421</v>
      </c>
      <c r="H53" t="s">
        <v>422</v>
      </c>
      <c r="I53" t="s">
        <v>17</v>
      </c>
    </row>
    <row r="54" spans="1:9" x14ac:dyDescent="0.2">
      <c r="A54" t="s">
        <v>125</v>
      </c>
      <c r="B54" t="s">
        <v>10</v>
      </c>
      <c r="C54" t="s">
        <v>317</v>
      </c>
      <c r="D54" t="s">
        <v>318</v>
      </c>
      <c r="E54" t="s">
        <v>13</v>
      </c>
      <c r="F54" t="s">
        <v>14</v>
      </c>
      <c r="G54" t="s">
        <v>423</v>
      </c>
      <c r="H54" t="s">
        <v>424</v>
      </c>
      <c r="I54" t="s">
        <v>17</v>
      </c>
    </row>
    <row r="55" spans="1:9" hidden="1" x14ac:dyDescent="0.2">
      <c r="A55" t="s">
        <v>162</v>
      </c>
      <c r="B55" t="s">
        <v>10</v>
      </c>
      <c r="C55" t="s">
        <v>317</v>
      </c>
      <c r="D55" t="s">
        <v>318</v>
      </c>
      <c r="E55" t="s">
        <v>13</v>
      </c>
      <c r="F55" t="s">
        <v>14</v>
      </c>
      <c r="G55" t="s">
        <v>425</v>
      </c>
      <c r="H55" t="s">
        <v>20</v>
      </c>
      <c r="I55" t="s">
        <v>20</v>
      </c>
    </row>
    <row r="56" spans="1:9" x14ac:dyDescent="0.2">
      <c r="A56" t="s">
        <v>102</v>
      </c>
      <c r="B56" t="s">
        <v>10</v>
      </c>
      <c r="C56" t="s">
        <v>317</v>
      </c>
      <c r="D56" t="s">
        <v>318</v>
      </c>
      <c r="E56" t="s">
        <v>13</v>
      </c>
      <c r="F56" t="s">
        <v>14</v>
      </c>
      <c r="G56" t="s">
        <v>426</v>
      </c>
      <c r="H56" t="s">
        <v>427</v>
      </c>
      <c r="I56" t="s">
        <v>17</v>
      </c>
    </row>
    <row r="57" spans="1:9" x14ac:dyDescent="0.2">
      <c r="A57" t="s">
        <v>137</v>
      </c>
      <c r="B57" t="s">
        <v>10</v>
      </c>
      <c r="C57" t="s">
        <v>317</v>
      </c>
      <c r="D57" t="s">
        <v>318</v>
      </c>
      <c r="E57" t="s">
        <v>13</v>
      </c>
      <c r="F57" t="s">
        <v>14</v>
      </c>
      <c r="G57" t="s">
        <v>428</v>
      </c>
      <c r="H57" t="s">
        <v>429</v>
      </c>
      <c r="I57" t="s">
        <v>17</v>
      </c>
    </row>
    <row r="58" spans="1:9" hidden="1" x14ac:dyDescent="0.2">
      <c r="A58" t="s">
        <v>252</v>
      </c>
      <c r="B58" t="s">
        <v>10</v>
      </c>
      <c r="C58" t="s">
        <v>317</v>
      </c>
      <c r="D58" t="s">
        <v>318</v>
      </c>
      <c r="E58" t="s">
        <v>13</v>
      </c>
      <c r="F58" t="s">
        <v>14</v>
      </c>
      <c r="G58" t="s">
        <v>430</v>
      </c>
      <c r="H58" t="s">
        <v>20</v>
      </c>
      <c r="I58" t="s">
        <v>20</v>
      </c>
    </row>
    <row r="59" spans="1:9" x14ac:dyDescent="0.2">
      <c r="A59" t="s">
        <v>237</v>
      </c>
      <c r="B59" t="s">
        <v>10</v>
      </c>
      <c r="C59" t="s">
        <v>317</v>
      </c>
      <c r="D59" t="s">
        <v>318</v>
      </c>
      <c r="E59" t="s">
        <v>13</v>
      </c>
      <c r="F59" t="s">
        <v>14</v>
      </c>
      <c r="G59" t="s">
        <v>431</v>
      </c>
      <c r="H59" t="s">
        <v>432</v>
      </c>
      <c r="I59" t="s">
        <v>17</v>
      </c>
    </row>
    <row r="60" spans="1:9" hidden="1" x14ac:dyDescent="0.2">
      <c r="A60" t="s">
        <v>186</v>
      </c>
      <c r="B60" t="s">
        <v>10</v>
      </c>
      <c r="C60" t="s">
        <v>317</v>
      </c>
      <c r="D60" t="s">
        <v>318</v>
      </c>
      <c r="E60" t="s">
        <v>13</v>
      </c>
      <c r="F60" t="s">
        <v>14</v>
      </c>
      <c r="G60" t="s">
        <v>433</v>
      </c>
      <c r="H60" t="s">
        <v>20</v>
      </c>
      <c r="I60" t="s">
        <v>20</v>
      </c>
    </row>
    <row r="61" spans="1:9" x14ac:dyDescent="0.2">
      <c r="A61" t="s">
        <v>81</v>
      </c>
      <c r="B61" t="s">
        <v>10</v>
      </c>
      <c r="C61" t="s">
        <v>317</v>
      </c>
      <c r="D61" t="s">
        <v>318</v>
      </c>
      <c r="E61" t="s">
        <v>13</v>
      </c>
      <c r="F61" t="s">
        <v>14</v>
      </c>
      <c r="G61" t="s">
        <v>434</v>
      </c>
      <c r="H61" t="s">
        <v>435</v>
      </c>
      <c r="I61" t="s">
        <v>17</v>
      </c>
    </row>
    <row r="62" spans="1:9" x14ac:dyDescent="0.2">
      <c r="A62" t="s">
        <v>289</v>
      </c>
      <c r="B62" t="s">
        <v>10</v>
      </c>
      <c r="C62" t="s">
        <v>317</v>
      </c>
      <c r="D62" t="s">
        <v>318</v>
      </c>
      <c r="E62" t="s">
        <v>13</v>
      </c>
      <c r="F62" t="s">
        <v>14</v>
      </c>
      <c r="G62" t="s">
        <v>436</v>
      </c>
      <c r="H62" t="s">
        <v>437</v>
      </c>
      <c r="I62" t="s">
        <v>17</v>
      </c>
    </row>
    <row r="63" spans="1:9" x14ac:dyDescent="0.2">
      <c r="A63" t="s">
        <v>438</v>
      </c>
      <c r="B63" t="s">
        <v>10</v>
      </c>
      <c r="C63" t="s">
        <v>317</v>
      </c>
      <c r="D63" t="s">
        <v>318</v>
      </c>
      <c r="E63" t="s">
        <v>13</v>
      </c>
      <c r="F63" t="s">
        <v>14</v>
      </c>
      <c r="G63" t="s">
        <v>439</v>
      </c>
      <c r="H63" t="s">
        <v>440</v>
      </c>
      <c r="I63" t="s">
        <v>17</v>
      </c>
    </row>
    <row r="64" spans="1:9" x14ac:dyDescent="0.2">
      <c r="A64" t="s">
        <v>441</v>
      </c>
      <c r="B64" t="s">
        <v>10</v>
      </c>
      <c r="C64" t="s">
        <v>317</v>
      </c>
      <c r="D64" t="s">
        <v>318</v>
      </c>
      <c r="E64" t="s">
        <v>13</v>
      </c>
      <c r="F64" t="s">
        <v>14</v>
      </c>
      <c r="G64" t="s">
        <v>442</v>
      </c>
      <c r="H64" t="s">
        <v>443</v>
      </c>
      <c r="I64" t="s">
        <v>17</v>
      </c>
    </row>
    <row r="65" spans="1:9" x14ac:dyDescent="0.2">
      <c r="A65" t="s">
        <v>268</v>
      </c>
      <c r="B65" t="s">
        <v>10</v>
      </c>
      <c r="C65" t="s">
        <v>317</v>
      </c>
      <c r="D65" t="s">
        <v>318</v>
      </c>
      <c r="E65" t="s">
        <v>13</v>
      </c>
      <c r="F65" t="s">
        <v>14</v>
      </c>
      <c r="G65" t="s">
        <v>444</v>
      </c>
      <c r="H65" t="s">
        <v>445</v>
      </c>
      <c r="I65" t="s">
        <v>17</v>
      </c>
    </row>
    <row r="66" spans="1:9" x14ac:dyDescent="0.2">
      <c r="A66" t="s">
        <v>165</v>
      </c>
      <c r="B66" t="s">
        <v>10</v>
      </c>
      <c r="C66" t="s">
        <v>317</v>
      </c>
      <c r="D66" t="s">
        <v>318</v>
      </c>
      <c r="E66" t="s">
        <v>13</v>
      </c>
      <c r="F66" t="s">
        <v>14</v>
      </c>
      <c r="G66" t="s">
        <v>446</v>
      </c>
      <c r="H66" t="s">
        <v>447</v>
      </c>
      <c r="I66" t="s">
        <v>17</v>
      </c>
    </row>
    <row r="67" spans="1:9" x14ac:dyDescent="0.2">
      <c r="A67" t="s">
        <v>159</v>
      </c>
      <c r="B67" t="s">
        <v>10</v>
      </c>
      <c r="C67" t="s">
        <v>317</v>
      </c>
      <c r="D67" t="s">
        <v>318</v>
      </c>
      <c r="E67" t="s">
        <v>13</v>
      </c>
      <c r="F67" t="s">
        <v>14</v>
      </c>
      <c r="G67" t="s">
        <v>448</v>
      </c>
      <c r="H67" t="s">
        <v>449</v>
      </c>
      <c r="I67" t="s">
        <v>17</v>
      </c>
    </row>
    <row r="68" spans="1:9" x14ac:dyDescent="0.2">
      <c r="A68" t="s">
        <v>228</v>
      </c>
      <c r="B68" t="s">
        <v>10</v>
      </c>
      <c r="C68" t="s">
        <v>317</v>
      </c>
      <c r="D68" t="s">
        <v>318</v>
      </c>
      <c r="E68" t="s">
        <v>13</v>
      </c>
      <c r="F68" t="s">
        <v>14</v>
      </c>
      <c r="G68" t="s">
        <v>450</v>
      </c>
      <c r="H68" t="s">
        <v>451</v>
      </c>
      <c r="I68" t="s">
        <v>17</v>
      </c>
    </row>
    <row r="69" spans="1:9" x14ac:dyDescent="0.2">
      <c r="A69" t="s">
        <v>220</v>
      </c>
      <c r="B69" t="s">
        <v>10</v>
      </c>
      <c r="C69" t="s">
        <v>317</v>
      </c>
      <c r="D69" t="s">
        <v>318</v>
      </c>
      <c r="E69" t="s">
        <v>13</v>
      </c>
      <c r="F69" t="s">
        <v>14</v>
      </c>
      <c r="G69" t="s">
        <v>452</v>
      </c>
      <c r="H69" t="s">
        <v>453</v>
      </c>
      <c r="I69" t="s">
        <v>17</v>
      </c>
    </row>
    <row r="70" spans="1:9" x14ac:dyDescent="0.2">
      <c r="A70" t="s">
        <v>171</v>
      </c>
      <c r="B70" t="s">
        <v>10</v>
      </c>
      <c r="C70" t="s">
        <v>317</v>
      </c>
      <c r="D70" t="s">
        <v>318</v>
      </c>
      <c r="E70" t="s">
        <v>13</v>
      </c>
      <c r="F70" t="s">
        <v>14</v>
      </c>
      <c r="G70" t="s">
        <v>454</v>
      </c>
      <c r="H70" t="s">
        <v>455</v>
      </c>
      <c r="I70" t="s">
        <v>17</v>
      </c>
    </row>
    <row r="71" spans="1:9" x14ac:dyDescent="0.2">
      <c r="A71" t="s">
        <v>122</v>
      </c>
      <c r="B71" t="s">
        <v>10</v>
      </c>
      <c r="C71" t="s">
        <v>317</v>
      </c>
      <c r="D71" t="s">
        <v>318</v>
      </c>
      <c r="E71" t="s">
        <v>13</v>
      </c>
      <c r="F71" t="s">
        <v>14</v>
      </c>
      <c r="G71" t="s">
        <v>456</v>
      </c>
      <c r="H71" t="s">
        <v>457</v>
      </c>
      <c r="I71" t="s">
        <v>17</v>
      </c>
    </row>
    <row r="72" spans="1:9" x14ac:dyDescent="0.2">
      <c r="A72" t="s">
        <v>194</v>
      </c>
      <c r="B72" t="s">
        <v>10</v>
      </c>
      <c r="C72" t="s">
        <v>317</v>
      </c>
      <c r="D72" t="s">
        <v>318</v>
      </c>
      <c r="E72" t="s">
        <v>13</v>
      </c>
      <c r="F72" t="s">
        <v>14</v>
      </c>
      <c r="G72" t="s">
        <v>458</v>
      </c>
      <c r="H72" t="s">
        <v>459</v>
      </c>
      <c r="I72" t="s">
        <v>17</v>
      </c>
    </row>
    <row r="73" spans="1:9" x14ac:dyDescent="0.2">
      <c r="A73" t="s">
        <v>217</v>
      </c>
      <c r="B73" t="s">
        <v>10</v>
      </c>
      <c r="C73" t="s">
        <v>317</v>
      </c>
      <c r="D73" t="s">
        <v>318</v>
      </c>
      <c r="E73" t="s">
        <v>13</v>
      </c>
      <c r="F73" t="s">
        <v>14</v>
      </c>
      <c r="G73" t="s">
        <v>460</v>
      </c>
      <c r="H73" t="s">
        <v>461</v>
      </c>
      <c r="I73" t="s">
        <v>17</v>
      </c>
    </row>
    <row r="74" spans="1:9" hidden="1" x14ac:dyDescent="0.2">
      <c r="A74" t="s">
        <v>296</v>
      </c>
      <c r="B74" t="s">
        <v>10</v>
      </c>
      <c r="C74" t="s">
        <v>317</v>
      </c>
      <c r="D74" t="s">
        <v>318</v>
      </c>
      <c r="E74" t="s">
        <v>13</v>
      </c>
      <c r="F74" t="s">
        <v>14</v>
      </c>
      <c r="G74" t="s">
        <v>462</v>
      </c>
      <c r="H74" t="s">
        <v>20</v>
      </c>
      <c r="I74" t="s">
        <v>20</v>
      </c>
    </row>
    <row r="75" spans="1:9" x14ac:dyDescent="0.2">
      <c r="A75" t="s">
        <v>234</v>
      </c>
      <c r="B75" t="s">
        <v>10</v>
      </c>
      <c r="C75" t="s">
        <v>317</v>
      </c>
      <c r="D75" t="s">
        <v>318</v>
      </c>
      <c r="E75" t="s">
        <v>13</v>
      </c>
      <c r="F75" t="s">
        <v>14</v>
      </c>
      <c r="G75" t="s">
        <v>463</v>
      </c>
      <c r="H75" t="s">
        <v>464</v>
      </c>
      <c r="I75" t="s">
        <v>17</v>
      </c>
    </row>
    <row r="76" spans="1:9" x14ac:dyDescent="0.2">
      <c r="A76" t="s">
        <v>222</v>
      </c>
      <c r="B76" t="s">
        <v>10</v>
      </c>
      <c r="C76" t="s">
        <v>317</v>
      </c>
      <c r="D76" t="s">
        <v>318</v>
      </c>
      <c r="E76" t="s">
        <v>13</v>
      </c>
      <c r="F76" t="s">
        <v>14</v>
      </c>
      <c r="G76" t="s">
        <v>465</v>
      </c>
      <c r="H76" t="s">
        <v>466</v>
      </c>
      <c r="I76" t="s">
        <v>17</v>
      </c>
    </row>
    <row r="77" spans="1:9" x14ac:dyDescent="0.2">
      <c r="A77" t="s">
        <v>131</v>
      </c>
      <c r="B77" t="s">
        <v>10</v>
      </c>
      <c r="C77" t="s">
        <v>317</v>
      </c>
      <c r="D77" t="s">
        <v>318</v>
      </c>
      <c r="E77" t="s">
        <v>13</v>
      </c>
      <c r="F77" t="s">
        <v>14</v>
      </c>
      <c r="G77" t="s">
        <v>467</v>
      </c>
      <c r="H77" t="s">
        <v>468</v>
      </c>
      <c r="I77" t="s">
        <v>17</v>
      </c>
    </row>
    <row r="78" spans="1:9" x14ac:dyDescent="0.2">
      <c r="A78" t="s">
        <v>191</v>
      </c>
      <c r="B78" t="s">
        <v>10</v>
      </c>
      <c r="C78" t="s">
        <v>317</v>
      </c>
      <c r="D78" t="s">
        <v>318</v>
      </c>
      <c r="E78" t="s">
        <v>13</v>
      </c>
      <c r="F78" t="s">
        <v>14</v>
      </c>
      <c r="G78" t="s">
        <v>469</v>
      </c>
      <c r="H78" t="s">
        <v>470</v>
      </c>
      <c r="I78" t="s">
        <v>17</v>
      </c>
    </row>
    <row r="79" spans="1:9" x14ac:dyDescent="0.2">
      <c r="A79" t="s">
        <v>471</v>
      </c>
      <c r="B79" t="s">
        <v>10</v>
      </c>
      <c r="C79" t="s">
        <v>317</v>
      </c>
      <c r="D79" t="s">
        <v>318</v>
      </c>
      <c r="E79" t="s">
        <v>13</v>
      </c>
      <c r="F79" t="s">
        <v>14</v>
      </c>
      <c r="G79" t="s">
        <v>472</v>
      </c>
      <c r="H79" t="s">
        <v>473</v>
      </c>
      <c r="I79" t="s">
        <v>17</v>
      </c>
    </row>
    <row r="80" spans="1:9" x14ac:dyDescent="0.2">
      <c r="A80" t="s">
        <v>474</v>
      </c>
      <c r="B80" t="s">
        <v>10</v>
      </c>
      <c r="C80" t="s">
        <v>317</v>
      </c>
      <c r="D80" t="s">
        <v>318</v>
      </c>
      <c r="E80" t="s">
        <v>13</v>
      </c>
      <c r="F80" t="s">
        <v>14</v>
      </c>
      <c r="G80" t="s">
        <v>475</v>
      </c>
      <c r="H80" t="s">
        <v>476</v>
      </c>
      <c r="I80" t="s">
        <v>17</v>
      </c>
    </row>
    <row r="81" spans="1:9" x14ac:dyDescent="0.2">
      <c r="A81" t="s">
        <v>78</v>
      </c>
      <c r="B81" t="s">
        <v>10</v>
      </c>
      <c r="C81" t="s">
        <v>317</v>
      </c>
      <c r="D81" t="s">
        <v>318</v>
      </c>
      <c r="E81" t="s">
        <v>13</v>
      </c>
      <c r="F81" t="s">
        <v>14</v>
      </c>
      <c r="G81" t="s">
        <v>477</v>
      </c>
      <c r="H81" t="s">
        <v>478</v>
      </c>
      <c r="I81" t="s">
        <v>17</v>
      </c>
    </row>
    <row r="82" spans="1:9" x14ac:dyDescent="0.2">
      <c r="A82" t="s">
        <v>147</v>
      </c>
      <c r="B82" t="s">
        <v>10</v>
      </c>
      <c r="C82" t="s">
        <v>317</v>
      </c>
      <c r="D82" t="s">
        <v>318</v>
      </c>
      <c r="E82" t="s">
        <v>13</v>
      </c>
      <c r="F82" t="s">
        <v>14</v>
      </c>
      <c r="G82" t="s">
        <v>479</v>
      </c>
      <c r="H82" t="s">
        <v>480</v>
      </c>
      <c r="I82" t="s">
        <v>17</v>
      </c>
    </row>
    <row r="83" spans="1:9" x14ac:dyDescent="0.2">
      <c r="A83" t="s">
        <v>183</v>
      </c>
      <c r="B83" t="s">
        <v>10</v>
      </c>
      <c r="C83" t="s">
        <v>317</v>
      </c>
      <c r="D83" t="s">
        <v>318</v>
      </c>
      <c r="E83" t="s">
        <v>13</v>
      </c>
      <c r="F83" t="s">
        <v>14</v>
      </c>
      <c r="G83" t="s">
        <v>481</v>
      </c>
      <c r="H83" t="s">
        <v>482</v>
      </c>
      <c r="I83" t="s">
        <v>17</v>
      </c>
    </row>
    <row r="84" spans="1:9" x14ac:dyDescent="0.2">
      <c r="A84" t="s">
        <v>294</v>
      </c>
      <c r="B84" t="s">
        <v>10</v>
      </c>
      <c r="C84" t="s">
        <v>317</v>
      </c>
      <c r="D84" t="s">
        <v>318</v>
      </c>
      <c r="E84" t="s">
        <v>13</v>
      </c>
      <c r="F84" t="s">
        <v>14</v>
      </c>
      <c r="G84" t="s">
        <v>483</v>
      </c>
      <c r="H84" t="s">
        <v>484</v>
      </c>
      <c r="I84" t="s">
        <v>17</v>
      </c>
    </row>
    <row r="85" spans="1:9" x14ac:dyDescent="0.2">
      <c r="A85" t="s">
        <v>209</v>
      </c>
      <c r="B85" t="s">
        <v>10</v>
      </c>
      <c r="C85" t="s">
        <v>317</v>
      </c>
      <c r="D85" t="s">
        <v>318</v>
      </c>
      <c r="E85" t="s">
        <v>13</v>
      </c>
      <c r="F85" t="s">
        <v>14</v>
      </c>
      <c r="G85" t="s">
        <v>485</v>
      </c>
      <c r="H85" t="s">
        <v>486</v>
      </c>
      <c r="I85" t="s">
        <v>17</v>
      </c>
    </row>
    <row r="86" spans="1:9" x14ac:dyDescent="0.2">
      <c r="A86" t="s">
        <v>128</v>
      </c>
      <c r="B86" t="s">
        <v>10</v>
      </c>
      <c r="C86" t="s">
        <v>317</v>
      </c>
      <c r="D86" t="s">
        <v>318</v>
      </c>
      <c r="E86" t="s">
        <v>13</v>
      </c>
      <c r="F86" t="s">
        <v>14</v>
      </c>
      <c r="G86" t="s">
        <v>487</v>
      </c>
      <c r="H86" t="s">
        <v>488</v>
      </c>
      <c r="I86" t="s">
        <v>17</v>
      </c>
    </row>
    <row r="87" spans="1:9" x14ac:dyDescent="0.2">
      <c r="A87" t="s">
        <v>271</v>
      </c>
      <c r="B87" t="s">
        <v>10</v>
      </c>
      <c r="C87" t="s">
        <v>317</v>
      </c>
      <c r="D87" t="s">
        <v>318</v>
      </c>
      <c r="E87" t="s">
        <v>13</v>
      </c>
      <c r="F87" t="s">
        <v>14</v>
      </c>
      <c r="G87" t="s">
        <v>489</v>
      </c>
      <c r="H87" t="s">
        <v>490</v>
      </c>
      <c r="I87" t="s">
        <v>17</v>
      </c>
    </row>
    <row r="88" spans="1:9" x14ac:dyDescent="0.2">
      <c r="A88" t="s">
        <v>239</v>
      </c>
      <c r="B88" t="s">
        <v>10</v>
      </c>
      <c r="C88" t="s">
        <v>317</v>
      </c>
      <c r="D88" t="s">
        <v>318</v>
      </c>
      <c r="E88" t="s">
        <v>13</v>
      </c>
      <c r="F88" t="s">
        <v>14</v>
      </c>
      <c r="G88" t="s">
        <v>491</v>
      </c>
      <c r="H88" t="s">
        <v>492</v>
      </c>
      <c r="I88" t="s">
        <v>17</v>
      </c>
    </row>
    <row r="89" spans="1:9" hidden="1" x14ac:dyDescent="0.2">
      <c r="A89" t="s">
        <v>189</v>
      </c>
      <c r="B89" t="s">
        <v>10</v>
      </c>
      <c r="C89" t="s">
        <v>317</v>
      </c>
      <c r="D89" t="s">
        <v>318</v>
      </c>
      <c r="E89" t="s">
        <v>13</v>
      </c>
      <c r="F89" t="s">
        <v>14</v>
      </c>
      <c r="G89" t="s">
        <v>493</v>
      </c>
      <c r="H89" t="s">
        <v>20</v>
      </c>
      <c r="I89" t="s">
        <v>20</v>
      </c>
    </row>
    <row r="90" spans="1:9" hidden="1" x14ac:dyDescent="0.2">
      <c r="A90" t="s">
        <v>494</v>
      </c>
      <c r="B90" t="s">
        <v>10</v>
      </c>
      <c r="C90" t="s">
        <v>317</v>
      </c>
      <c r="D90" t="s">
        <v>318</v>
      </c>
      <c r="E90" t="s">
        <v>13</v>
      </c>
      <c r="F90" t="s">
        <v>14</v>
      </c>
      <c r="G90" t="s">
        <v>495</v>
      </c>
      <c r="H90" t="s">
        <v>20</v>
      </c>
      <c r="I90" t="s">
        <v>20</v>
      </c>
    </row>
    <row r="91" spans="1:9" x14ac:dyDescent="0.2">
      <c r="A91" t="s">
        <v>496</v>
      </c>
      <c r="B91" t="s">
        <v>10</v>
      </c>
      <c r="C91" t="s">
        <v>317</v>
      </c>
      <c r="D91" t="s">
        <v>318</v>
      </c>
      <c r="E91" t="s">
        <v>13</v>
      </c>
      <c r="F91" t="s">
        <v>14</v>
      </c>
      <c r="G91" t="s">
        <v>497</v>
      </c>
      <c r="H91" t="s">
        <v>498</v>
      </c>
      <c r="I91" t="s">
        <v>17</v>
      </c>
    </row>
    <row r="92" spans="1:9" hidden="1" x14ac:dyDescent="0.2">
      <c r="A92" t="s">
        <v>263</v>
      </c>
      <c r="B92" t="s">
        <v>10</v>
      </c>
      <c r="C92" t="s">
        <v>317</v>
      </c>
      <c r="D92" t="s">
        <v>318</v>
      </c>
      <c r="E92" t="s">
        <v>13</v>
      </c>
      <c r="F92" t="s">
        <v>14</v>
      </c>
      <c r="G92" t="s">
        <v>499</v>
      </c>
      <c r="H92" t="s">
        <v>20</v>
      </c>
      <c r="I92" t="s">
        <v>20</v>
      </c>
    </row>
    <row r="93" spans="1:9" x14ac:dyDescent="0.2">
      <c r="A93" t="s">
        <v>206</v>
      </c>
      <c r="B93" t="s">
        <v>10</v>
      </c>
      <c r="C93" t="s">
        <v>317</v>
      </c>
      <c r="D93" t="s">
        <v>318</v>
      </c>
      <c r="E93" t="s">
        <v>13</v>
      </c>
      <c r="F93" t="s">
        <v>14</v>
      </c>
      <c r="G93" t="s">
        <v>500</v>
      </c>
      <c r="H93" t="s">
        <v>501</v>
      </c>
      <c r="I93" t="s">
        <v>17</v>
      </c>
    </row>
    <row r="94" spans="1:9" x14ac:dyDescent="0.2">
      <c r="A94" t="s">
        <v>286</v>
      </c>
      <c r="B94" t="s">
        <v>10</v>
      </c>
      <c r="C94" t="s">
        <v>317</v>
      </c>
      <c r="D94" t="s">
        <v>318</v>
      </c>
      <c r="E94" t="s">
        <v>13</v>
      </c>
      <c r="F94" t="s">
        <v>14</v>
      </c>
      <c r="G94" t="s">
        <v>502</v>
      </c>
      <c r="H94" t="s">
        <v>503</v>
      </c>
      <c r="I94" t="s">
        <v>17</v>
      </c>
    </row>
    <row r="95" spans="1:9" x14ac:dyDescent="0.2">
      <c r="A95" t="s">
        <v>244</v>
      </c>
      <c r="B95" t="s">
        <v>10</v>
      </c>
      <c r="C95" t="s">
        <v>317</v>
      </c>
      <c r="D95" t="s">
        <v>318</v>
      </c>
      <c r="E95" t="s">
        <v>13</v>
      </c>
      <c r="F95" t="s">
        <v>14</v>
      </c>
      <c r="G95" t="s">
        <v>504</v>
      </c>
      <c r="H95" t="s">
        <v>505</v>
      </c>
      <c r="I95" t="s">
        <v>17</v>
      </c>
    </row>
    <row r="96" spans="1:9" x14ac:dyDescent="0.2">
      <c r="A96" t="s">
        <v>177</v>
      </c>
      <c r="B96" t="s">
        <v>10</v>
      </c>
      <c r="C96" t="s">
        <v>317</v>
      </c>
      <c r="D96" t="s">
        <v>318</v>
      </c>
      <c r="E96" t="s">
        <v>13</v>
      </c>
      <c r="F96" t="s">
        <v>14</v>
      </c>
      <c r="G96" t="s">
        <v>506</v>
      </c>
      <c r="H96" t="s">
        <v>507</v>
      </c>
      <c r="I96" t="s">
        <v>17</v>
      </c>
    </row>
    <row r="97" spans="1:9" x14ac:dyDescent="0.2">
      <c r="A97" t="s">
        <v>313</v>
      </c>
      <c r="B97" t="s">
        <v>10</v>
      </c>
      <c r="C97" t="s">
        <v>317</v>
      </c>
      <c r="D97" t="s">
        <v>318</v>
      </c>
      <c r="E97" t="s">
        <v>13</v>
      </c>
      <c r="F97" t="s">
        <v>14</v>
      </c>
      <c r="G97" t="s">
        <v>508</v>
      </c>
      <c r="H97" t="s">
        <v>509</v>
      </c>
      <c r="I97" t="s">
        <v>17</v>
      </c>
    </row>
    <row r="98" spans="1:9" hidden="1" x14ac:dyDescent="0.2">
      <c r="A98" t="s">
        <v>249</v>
      </c>
      <c r="B98" t="s">
        <v>10</v>
      </c>
      <c r="C98" t="s">
        <v>317</v>
      </c>
      <c r="D98" t="s">
        <v>318</v>
      </c>
      <c r="E98" t="s">
        <v>13</v>
      </c>
      <c r="F98" t="s">
        <v>14</v>
      </c>
      <c r="G98" t="s">
        <v>510</v>
      </c>
      <c r="H98" t="s">
        <v>20</v>
      </c>
      <c r="I98" t="s">
        <v>20</v>
      </c>
    </row>
    <row r="99" spans="1:9" x14ac:dyDescent="0.2">
      <c r="A99" t="s">
        <v>112</v>
      </c>
      <c r="B99" t="s">
        <v>10</v>
      </c>
      <c r="C99" t="s">
        <v>317</v>
      </c>
      <c r="D99" t="s">
        <v>318</v>
      </c>
      <c r="E99" t="s">
        <v>13</v>
      </c>
      <c r="F99" t="s">
        <v>14</v>
      </c>
      <c r="G99" t="s">
        <v>511</v>
      </c>
      <c r="H99" t="s">
        <v>512</v>
      </c>
      <c r="I99" t="s">
        <v>17</v>
      </c>
    </row>
    <row r="100" spans="1:9" x14ac:dyDescent="0.2">
      <c r="A100" t="s">
        <v>139</v>
      </c>
      <c r="B100" t="s">
        <v>10</v>
      </c>
      <c r="C100" t="s">
        <v>317</v>
      </c>
      <c r="D100" t="s">
        <v>318</v>
      </c>
      <c r="E100" t="s">
        <v>13</v>
      </c>
      <c r="F100" t="s">
        <v>14</v>
      </c>
      <c r="G100" t="s">
        <v>513</v>
      </c>
      <c r="H100" t="s">
        <v>514</v>
      </c>
      <c r="I100" t="s">
        <v>17</v>
      </c>
    </row>
    <row r="101" spans="1:9" x14ac:dyDescent="0.2">
      <c r="A101" t="s">
        <v>174</v>
      </c>
      <c r="B101" t="s">
        <v>10</v>
      </c>
      <c r="C101" t="s">
        <v>317</v>
      </c>
      <c r="D101" t="s">
        <v>318</v>
      </c>
      <c r="E101" t="s">
        <v>13</v>
      </c>
      <c r="F101" t="s">
        <v>14</v>
      </c>
      <c r="G101" t="s">
        <v>515</v>
      </c>
      <c r="H101" t="s">
        <v>516</v>
      </c>
      <c r="I101" t="s">
        <v>17</v>
      </c>
    </row>
    <row r="102" spans="1:9" x14ac:dyDescent="0.2">
      <c r="A102" t="s">
        <v>517</v>
      </c>
      <c r="B102" t="s">
        <v>10</v>
      </c>
      <c r="C102" t="s">
        <v>317</v>
      </c>
      <c r="D102" t="s">
        <v>318</v>
      </c>
      <c r="E102" t="s">
        <v>13</v>
      </c>
      <c r="F102" t="s">
        <v>14</v>
      </c>
      <c r="G102" t="s">
        <v>518</v>
      </c>
      <c r="H102" t="s">
        <v>519</v>
      </c>
      <c r="I102" t="s">
        <v>17</v>
      </c>
    </row>
    <row r="103" spans="1:9" x14ac:dyDescent="0.2">
      <c r="A103" t="s">
        <v>520</v>
      </c>
      <c r="B103" t="s">
        <v>10</v>
      </c>
      <c r="C103" t="s">
        <v>317</v>
      </c>
      <c r="D103" t="s">
        <v>318</v>
      </c>
      <c r="E103" t="s">
        <v>13</v>
      </c>
      <c r="F103" t="s">
        <v>14</v>
      </c>
      <c r="G103" t="s">
        <v>521</v>
      </c>
      <c r="H103" t="s">
        <v>522</v>
      </c>
      <c r="I103" t="s">
        <v>17</v>
      </c>
    </row>
    <row r="104" spans="1:9" x14ac:dyDescent="0.2">
      <c r="A104" t="s">
        <v>246</v>
      </c>
      <c r="B104" t="s">
        <v>10</v>
      </c>
      <c r="C104" t="s">
        <v>317</v>
      </c>
      <c r="D104" t="s">
        <v>318</v>
      </c>
      <c r="E104" t="s">
        <v>13</v>
      </c>
      <c r="F104" t="s">
        <v>14</v>
      </c>
      <c r="G104" t="s">
        <v>523</v>
      </c>
      <c r="H104" t="s">
        <v>524</v>
      </c>
      <c r="I104" t="s">
        <v>17</v>
      </c>
    </row>
    <row r="105" spans="1:9" x14ac:dyDescent="0.2">
      <c r="A105" t="s">
        <v>265</v>
      </c>
      <c r="B105" t="s">
        <v>10</v>
      </c>
      <c r="C105" t="s">
        <v>317</v>
      </c>
      <c r="D105" t="s">
        <v>318</v>
      </c>
      <c r="E105" t="s">
        <v>13</v>
      </c>
      <c r="F105" t="s">
        <v>14</v>
      </c>
      <c r="G105" t="s">
        <v>525</v>
      </c>
      <c r="H105" t="s">
        <v>526</v>
      </c>
      <c r="I105" t="s">
        <v>17</v>
      </c>
    </row>
    <row r="106" spans="1:9" x14ac:dyDescent="0.2">
      <c r="A106" t="s">
        <v>150</v>
      </c>
      <c r="B106" t="s">
        <v>10</v>
      </c>
      <c r="C106" t="s">
        <v>317</v>
      </c>
      <c r="D106" t="s">
        <v>318</v>
      </c>
      <c r="E106" t="s">
        <v>13</v>
      </c>
      <c r="F106" t="s">
        <v>14</v>
      </c>
      <c r="G106" t="s">
        <v>527</v>
      </c>
      <c r="H106" t="s">
        <v>528</v>
      </c>
      <c r="I106" t="s">
        <v>17</v>
      </c>
    </row>
    <row r="107" spans="1:9" hidden="1" x14ac:dyDescent="0.2">
      <c r="A107" t="s">
        <v>214</v>
      </c>
      <c r="B107" t="s">
        <v>10</v>
      </c>
      <c r="C107" t="s">
        <v>317</v>
      </c>
      <c r="D107" t="s">
        <v>318</v>
      </c>
      <c r="E107" t="s">
        <v>13</v>
      </c>
      <c r="F107" t="s">
        <v>14</v>
      </c>
      <c r="G107" t="s">
        <v>529</v>
      </c>
      <c r="H107" t="s">
        <v>20</v>
      </c>
      <c r="I107" t="s">
        <v>20</v>
      </c>
    </row>
    <row r="108" spans="1:9" hidden="1" x14ac:dyDescent="0.2">
      <c r="A108" t="s">
        <v>153</v>
      </c>
      <c r="B108" t="s">
        <v>10</v>
      </c>
      <c r="C108" t="s">
        <v>317</v>
      </c>
      <c r="D108" t="s">
        <v>318</v>
      </c>
      <c r="E108" t="s">
        <v>13</v>
      </c>
      <c r="F108" t="s">
        <v>14</v>
      </c>
      <c r="G108" t="s">
        <v>530</v>
      </c>
      <c r="H108" t="s">
        <v>20</v>
      </c>
      <c r="I108" t="s">
        <v>20</v>
      </c>
    </row>
    <row r="109" spans="1:9" x14ac:dyDescent="0.2">
      <c r="A109" t="s">
        <v>258</v>
      </c>
      <c r="B109" t="s">
        <v>10</v>
      </c>
      <c r="C109" t="s">
        <v>317</v>
      </c>
      <c r="D109" t="s">
        <v>318</v>
      </c>
      <c r="E109" t="s">
        <v>13</v>
      </c>
      <c r="F109" t="s">
        <v>14</v>
      </c>
      <c r="G109" t="s">
        <v>531</v>
      </c>
      <c r="H109" t="s">
        <v>532</v>
      </c>
      <c r="I109" t="s">
        <v>17</v>
      </c>
    </row>
    <row r="110" spans="1:9" x14ac:dyDescent="0.2">
      <c r="A110" t="s">
        <v>107</v>
      </c>
      <c r="B110" t="s">
        <v>10</v>
      </c>
      <c r="C110" t="s">
        <v>317</v>
      </c>
      <c r="D110" t="s">
        <v>318</v>
      </c>
      <c r="E110" t="s">
        <v>13</v>
      </c>
      <c r="F110" t="s">
        <v>14</v>
      </c>
      <c r="G110" t="s">
        <v>533</v>
      </c>
      <c r="H110" t="s">
        <v>534</v>
      </c>
      <c r="I110" t="s">
        <v>17</v>
      </c>
    </row>
    <row r="111" spans="1:9" x14ac:dyDescent="0.2">
      <c r="A111" t="s">
        <v>535</v>
      </c>
      <c r="B111" t="s">
        <v>10</v>
      </c>
      <c r="C111" t="s">
        <v>317</v>
      </c>
      <c r="D111" t="s">
        <v>318</v>
      </c>
      <c r="E111" t="s">
        <v>13</v>
      </c>
      <c r="F111" t="s">
        <v>14</v>
      </c>
      <c r="G111" t="s">
        <v>536</v>
      </c>
      <c r="H111" t="s">
        <v>537</v>
      </c>
      <c r="I111" t="s">
        <v>17</v>
      </c>
    </row>
    <row r="112" spans="1:9" x14ac:dyDescent="0.2">
      <c r="A112" t="s">
        <v>260</v>
      </c>
      <c r="B112" t="s">
        <v>10</v>
      </c>
      <c r="C112" t="s">
        <v>317</v>
      </c>
      <c r="D112" t="s">
        <v>318</v>
      </c>
      <c r="E112" t="s">
        <v>13</v>
      </c>
      <c r="F112" t="s">
        <v>14</v>
      </c>
      <c r="G112" t="s">
        <v>538</v>
      </c>
      <c r="H112" t="s">
        <v>539</v>
      </c>
      <c r="I112" t="s">
        <v>17</v>
      </c>
    </row>
    <row r="113" spans="1:9" x14ac:dyDescent="0.2">
      <c r="A113" t="s">
        <v>87</v>
      </c>
      <c r="B113" t="s">
        <v>10</v>
      </c>
      <c r="C113" t="s">
        <v>317</v>
      </c>
      <c r="D113" t="s">
        <v>318</v>
      </c>
      <c r="E113" t="s">
        <v>13</v>
      </c>
      <c r="F113" t="s">
        <v>14</v>
      </c>
      <c r="G113" t="s">
        <v>540</v>
      </c>
      <c r="H113" t="s">
        <v>541</v>
      </c>
      <c r="I113" t="s">
        <v>17</v>
      </c>
    </row>
    <row r="114" spans="1:9" x14ac:dyDescent="0.2">
      <c r="A114" t="s">
        <v>200</v>
      </c>
      <c r="B114" t="s">
        <v>10</v>
      </c>
      <c r="C114" t="s">
        <v>317</v>
      </c>
      <c r="D114" t="s">
        <v>318</v>
      </c>
      <c r="E114" t="s">
        <v>13</v>
      </c>
      <c r="F114" t="s">
        <v>14</v>
      </c>
      <c r="G114" t="s">
        <v>542</v>
      </c>
      <c r="H114" t="s">
        <v>543</v>
      </c>
      <c r="I114" t="s">
        <v>17</v>
      </c>
    </row>
    <row r="115" spans="1:9" x14ac:dyDescent="0.2">
      <c r="A115" t="s">
        <v>544</v>
      </c>
      <c r="B115" t="s">
        <v>10</v>
      </c>
      <c r="C115" t="s">
        <v>317</v>
      </c>
      <c r="D115" t="s">
        <v>318</v>
      </c>
      <c r="E115" t="s">
        <v>13</v>
      </c>
      <c r="F115" t="s">
        <v>14</v>
      </c>
      <c r="G115" t="s">
        <v>545</v>
      </c>
      <c r="H115" t="s">
        <v>546</v>
      </c>
      <c r="I115" t="s">
        <v>17</v>
      </c>
    </row>
    <row r="116" spans="1:9" x14ac:dyDescent="0.2">
      <c r="A116" t="s">
        <v>302</v>
      </c>
      <c r="B116" t="s">
        <v>10</v>
      </c>
      <c r="C116" t="s">
        <v>317</v>
      </c>
      <c r="D116" t="s">
        <v>318</v>
      </c>
      <c r="E116" t="s">
        <v>13</v>
      </c>
      <c r="F116" t="s">
        <v>14</v>
      </c>
      <c r="G116" t="s">
        <v>547</v>
      </c>
      <c r="H116" t="s">
        <v>548</v>
      </c>
      <c r="I116" t="s">
        <v>17</v>
      </c>
    </row>
    <row r="117" spans="1:9" x14ac:dyDescent="0.2">
      <c r="A117" t="s">
        <v>549</v>
      </c>
      <c r="B117" t="s">
        <v>10</v>
      </c>
      <c r="C117" t="s">
        <v>317</v>
      </c>
      <c r="D117" t="s">
        <v>318</v>
      </c>
      <c r="E117" t="s">
        <v>13</v>
      </c>
      <c r="F117" t="s">
        <v>14</v>
      </c>
      <c r="G117" t="s">
        <v>550</v>
      </c>
      <c r="H117" t="s">
        <v>551</v>
      </c>
      <c r="I117" t="s">
        <v>17</v>
      </c>
    </row>
    <row r="118" spans="1:9" x14ac:dyDescent="0.2">
      <c r="A118" t="s">
        <v>552</v>
      </c>
      <c r="B118" t="s">
        <v>10</v>
      </c>
      <c r="C118" t="s">
        <v>317</v>
      </c>
      <c r="D118" t="s">
        <v>318</v>
      </c>
      <c r="E118" t="s">
        <v>13</v>
      </c>
      <c r="F118" t="s">
        <v>14</v>
      </c>
      <c r="G118" t="s">
        <v>553</v>
      </c>
      <c r="H118" t="s">
        <v>554</v>
      </c>
      <c r="I118" t="s">
        <v>17</v>
      </c>
    </row>
    <row r="119" spans="1:9" x14ac:dyDescent="0.2">
      <c r="A119" t="s">
        <v>555</v>
      </c>
      <c r="B119" t="s">
        <v>10</v>
      </c>
      <c r="C119" t="s">
        <v>317</v>
      </c>
      <c r="D119" t="s">
        <v>318</v>
      </c>
      <c r="E119" t="s">
        <v>13</v>
      </c>
      <c r="F119" t="s">
        <v>14</v>
      </c>
      <c r="G119" t="s">
        <v>556</v>
      </c>
      <c r="H119" t="s">
        <v>557</v>
      </c>
      <c r="I119" t="s">
        <v>17</v>
      </c>
    </row>
    <row r="120" spans="1:9" x14ac:dyDescent="0.2">
      <c r="A120" t="s">
        <v>558</v>
      </c>
      <c r="B120" t="s">
        <v>10</v>
      </c>
      <c r="C120" t="s">
        <v>317</v>
      </c>
      <c r="D120" t="s">
        <v>318</v>
      </c>
      <c r="E120" t="s">
        <v>13</v>
      </c>
      <c r="F120" t="s">
        <v>14</v>
      </c>
      <c r="G120" t="s">
        <v>559</v>
      </c>
      <c r="H120" t="s">
        <v>560</v>
      </c>
      <c r="I120" t="s">
        <v>17</v>
      </c>
    </row>
    <row r="121" spans="1:9" x14ac:dyDescent="0.2">
      <c r="A121" t="s">
        <v>134</v>
      </c>
      <c r="B121" t="s">
        <v>10</v>
      </c>
      <c r="C121" t="s">
        <v>317</v>
      </c>
      <c r="D121" t="s">
        <v>318</v>
      </c>
      <c r="E121" t="s">
        <v>13</v>
      </c>
      <c r="F121" t="s">
        <v>14</v>
      </c>
      <c r="G121" t="s">
        <v>561</v>
      </c>
      <c r="H121" t="s">
        <v>562</v>
      </c>
      <c r="I121" t="s">
        <v>17</v>
      </c>
    </row>
    <row r="122" spans="1:9" x14ac:dyDescent="0.2">
      <c r="A122" t="s">
        <v>563</v>
      </c>
      <c r="B122" t="s">
        <v>10</v>
      </c>
      <c r="C122" t="s">
        <v>317</v>
      </c>
      <c r="D122" t="s">
        <v>318</v>
      </c>
      <c r="E122" t="s">
        <v>13</v>
      </c>
      <c r="F122" t="s">
        <v>14</v>
      </c>
      <c r="G122" t="s">
        <v>564</v>
      </c>
      <c r="H122" t="s">
        <v>565</v>
      </c>
      <c r="I122" t="s">
        <v>17</v>
      </c>
    </row>
    <row r="123" spans="1:9" hidden="1" x14ac:dyDescent="0.2">
      <c r="A123" t="s">
        <v>566</v>
      </c>
      <c r="B123" t="s">
        <v>10</v>
      </c>
      <c r="C123" t="s">
        <v>317</v>
      </c>
      <c r="D123" t="s">
        <v>318</v>
      </c>
      <c r="E123" t="s">
        <v>13</v>
      </c>
      <c r="F123" t="s">
        <v>14</v>
      </c>
      <c r="G123" t="s">
        <v>567</v>
      </c>
      <c r="H123" t="s">
        <v>20</v>
      </c>
      <c r="I123" t="s">
        <v>20</v>
      </c>
    </row>
    <row r="124" spans="1:9" x14ac:dyDescent="0.2">
      <c r="A124" t="s">
        <v>568</v>
      </c>
      <c r="B124" t="s">
        <v>10</v>
      </c>
      <c r="C124" t="s">
        <v>317</v>
      </c>
      <c r="D124" t="s">
        <v>318</v>
      </c>
      <c r="E124" t="s">
        <v>13</v>
      </c>
      <c r="F124" t="s">
        <v>14</v>
      </c>
      <c r="G124" t="s">
        <v>569</v>
      </c>
      <c r="H124" t="s">
        <v>570</v>
      </c>
      <c r="I124" t="s">
        <v>17</v>
      </c>
    </row>
    <row r="125" spans="1:9" x14ac:dyDescent="0.2">
      <c r="A125" t="s">
        <v>310</v>
      </c>
      <c r="B125" t="s">
        <v>10</v>
      </c>
      <c r="C125" t="s">
        <v>317</v>
      </c>
      <c r="D125" t="s">
        <v>318</v>
      </c>
      <c r="E125" t="s">
        <v>13</v>
      </c>
      <c r="F125" t="s">
        <v>14</v>
      </c>
      <c r="G125" t="s">
        <v>571</v>
      </c>
      <c r="H125" t="s">
        <v>572</v>
      </c>
      <c r="I125" t="s">
        <v>17</v>
      </c>
    </row>
    <row r="126" spans="1:9" x14ac:dyDescent="0.2">
      <c r="A126" t="s">
        <v>225</v>
      </c>
      <c r="B126" t="s">
        <v>10</v>
      </c>
      <c r="C126" t="s">
        <v>317</v>
      </c>
      <c r="D126" t="s">
        <v>318</v>
      </c>
      <c r="E126" t="s">
        <v>13</v>
      </c>
      <c r="F126" t="s">
        <v>14</v>
      </c>
      <c r="G126" t="s">
        <v>573</v>
      </c>
      <c r="H126" t="s">
        <v>574</v>
      </c>
      <c r="I126" t="s">
        <v>17</v>
      </c>
    </row>
    <row r="127" spans="1:9" hidden="1" x14ac:dyDescent="0.2">
      <c r="A127" t="s">
        <v>203</v>
      </c>
      <c r="B127" t="s">
        <v>10</v>
      </c>
      <c r="C127" t="s">
        <v>317</v>
      </c>
      <c r="D127" t="s">
        <v>318</v>
      </c>
      <c r="E127" t="s">
        <v>13</v>
      </c>
      <c r="F127" t="s">
        <v>14</v>
      </c>
      <c r="G127" t="s">
        <v>575</v>
      </c>
      <c r="H127" t="s">
        <v>20</v>
      </c>
      <c r="I127" t="s">
        <v>20</v>
      </c>
    </row>
    <row r="128" spans="1:9" x14ac:dyDescent="0.2">
      <c r="A128" t="s">
        <v>576</v>
      </c>
      <c r="B128" t="s">
        <v>10</v>
      </c>
      <c r="C128" t="s">
        <v>317</v>
      </c>
      <c r="D128" t="s">
        <v>318</v>
      </c>
      <c r="E128" t="s">
        <v>13</v>
      </c>
      <c r="F128" t="s">
        <v>14</v>
      </c>
      <c r="G128" t="s">
        <v>577</v>
      </c>
      <c r="H128" t="s">
        <v>578</v>
      </c>
      <c r="I128" t="s">
        <v>17</v>
      </c>
    </row>
    <row r="129" spans="1:9" x14ac:dyDescent="0.2">
      <c r="A129" t="s">
        <v>579</v>
      </c>
      <c r="B129" t="s">
        <v>10</v>
      </c>
      <c r="C129" t="s">
        <v>317</v>
      </c>
      <c r="D129" t="s">
        <v>318</v>
      </c>
      <c r="E129" t="s">
        <v>13</v>
      </c>
      <c r="F129" t="s">
        <v>14</v>
      </c>
      <c r="G129" t="s">
        <v>580</v>
      </c>
      <c r="H129" t="s">
        <v>581</v>
      </c>
      <c r="I129" t="s">
        <v>17</v>
      </c>
    </row>
    <row r="130" spans="1:9" hidden="1" x14ac:dyDescent="0.2">
      <c r="A130" t="s">
        <v>255</v>
      </c>
      <c r="B130" t="s">
        <v>10</v>
      </c>
      <c r="C130" t="s">
        <v>317</v>
      </c>
      <c r="D130" t="s">
        <v>318</v>
      </c>
      <c r="E130" t="s">
        <v>13</v>
      </c>
      <c r="F130" t="s">
        <v>14</v>
      </c>
      <c r="G130" t="s">
        <v>582</v>
      </c>
      <c r="H130" t="s">
        <v>20</v>
      </c>
      <c r="I130" t="s">
        <v>20</v>
      </c>
    </row>
    <row r="131" spans="1:9" x14ac:dyDescent="0.2">
      <c r="A131" t="s">
        <v>299</v>
      </c>
      <c r="B131" t="s">
        <v>10</v>
      </c>
      <c r="C131" t="s">
        <v>317</v>
      </c>
      <c r="D131" t="s">
        <v>318</v>
      </c>
      <c r="E131" t="s">
        <v>13</v>
      </c>
      <c r="F131" t="s">
        <v>14</v>
      </c>
      <c r="G131" t="s">
        <v>583</v>
      </c>
      <c r="H131" t="s">
        <v>584</v>
      </c>
      <c r="I131" t="s">
        <v>17</v>
      </c>
    </row>
    <row r="132" spans="1:9" x14ac:dyDescent="0.2">
      <c r="A132" t="s">
        <v>280</v>
      </c>
      <c r="B132" t="s">
        <v>10</v>
      </c>
      <c r="C132" t="s">
        <v>317</v>
      </c>
      <c r="D132" t="s">
        <v>318</v>
      </c>
      <c r="E132" t="s">
        <v>13</v>
      </c>
      <c r="F132" t="s">
        <v>14</v>
      </c>
      <c r="G132" t="s">
        <v>585</v>
      </c>
      <c r="H132" t="s">
        <v>586</v>
      </c>
      <c r="I132" t="s">
        <v>17</v>
      </c>
    </row>
    <row r="133" spans="1:9" x14ac:dyDescent="0.2">
      <c r="A133" t="s">
        <v>587</v>
      </c>
      <c r="B133" t="s">
        <v>10</v>
      </c>
      <c r="C133" t="s">
        <v>317</v>
      </c>
      <c r="D133" t="s">
        <v>318</v>
      </c>
      <c r="E133" t="s">
        <v>13</v>
      </c>
      <c r="F133" t="s">
        <v>14</v>
      </c>
      <c r="G133" t="s">
        <v>588</v>
      </c>
      <c r="H133" t="s">
        <v>589</v>
      </c>
      <c r="I133" t="s">
        <v>17</v>
      </c>
    </row>
    <row r="134" spans="1:9" x14ac:dyDescent="0.2">
      <c r="A134" t="s">
        <v>315</v>
      </c>
      <c r="B134" t="s">
        <v>10</v>
      </c>
      <c r="C134" t="s">
        <v>317</v>
      </c>
      <c r="D134" t="s">
        <v>318</v>
      </c>
      <c r="E134" t="s">
        <v>13</v>
      </c>
      <c r="F134" t="s">
        <v>14</v>
      </c>
      <c r="G134" t="s">
        <v>590</v>
      </c>
      <c r="H134" t="s">
        <v>591</v>
      </c>
      <c r="I134" t="s">
        <v>17</v>
      </c>
    </row>
    <row r="135" spans="1:9" x14ac:dyDescent="0.2">
      <c r="A135" t="s">
        <v>592</v>
      </c>
      <c r="B135" t="s">
        <v>10</v>
      </c>
      <c r="C135" t="s">
        <v>317</v>
      </c>
      <c r="D135" t="s">
        <v>318</v>
      </c>
      <c r="E135" t="s">
        <v>13</v>
      </c>
      <c r="F135" t="s">
        <v>14</v>
      </c>
      <c r="G135" t="s">
        <v>593</v>
      </c>
      <c r="H135" t="s">
        <v>594</v>
      </c>
      <c r="I135" t="s">
        <v>17</v>
      </c>
    </row>
    <row r="136" spans="1:9" x14ac:dyDescent="0.2">
      <c r="A136" t="s">
        <v>307</v>
      </c>
      <c r="B136" t="s">
        <v>10</v>
      </c>
      <c r="C136" t="s">
        <v>317</v>
      </c>
      <c r="D136" t="s">
        <v>318</v>
      </c>
      <c r="E136" t="s">
        <v>13</v>
      </c>
      <c r="F136" t="s">
        <v>14</v>
      </c>
      <c r="G136" t="s">
        <v>595</v>
      </c>
      <c r="H136" t="s">
        <v>596</v>
      </c>
      <c r="I136" t="s">
        <v>17</v>
      </c>
    </row>
    <row r="137" spans="1:9" x14ac:dyDescent="0.2">
      <c r="A137" t="s">
        <v>305</v>
      </c>
      <c r="B137" t="s">
        <v>10</v>
      </c>
      <c r="C137" t="s">
        <v>317</v>
      </c>
      <c r="D137" t="s">
        <v>318</v>
      </c>
      <c r="E137" t="s">
        <v>13</v>
      </c>
      <c r="F137" t="s">
        <v>14</v>
      </c>
      <c r="G137" t="s">
        <v>597</v>
      </c>
      <c r="H137" t="s">
        <v>598</v>
      </c>
      <c r="I137" t="s">
        <v>17</v>
      </c>
    </row>
    <row r="138" spans="1:9" x14ac:dyDescent="0.2">
      <c r="A138" t="s">
        <v>599</v>
      </c>
      <c r="B138" t="s">
        <v>10</v>
      </c>
      <c r="C138" t="s">
        <v>317</v>
      </c>
      <c r="D138" t="s">
        <v>318</v>
      </c>
      <c r="E138" t="s">
        <v>13</v>
      </c>
      <c r="F138" t="s">
        <v>14</v>
      </c>
      <c r="G138" t="s">
        <v>600</v>
      </c>
      <c r="H138" t="s">
        <v>601</v>
      </c>
      <c r="I138" t="s">
        <v>17</v>
      </c>
    </row>
    <row r="139" spans="1:9" x14ac:dyDescent="0.2">
      <c r="A139" t="s">
        <v>274</v>
      </c>
      <c r="B139" t="s">
        <v>10</v>
      </c>
      <c r="C139" t="s">
        <v>317</v>
      </c>
      <c r="D139" t="s">
        <v>318</v>
      </c>
      <c r="E139" t="s">
        <v>13</v>
      </c>
      <c r="F139" t="s">
        <v>14</v>
      </c>
      <c r="G139" t="s">
        <v>602</v>
      </c>
      <c r="H139" t="s">
        <v>603</v>
      </c>
      <c r="I139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2851-2E37-CE4E-BC64-14EAA5FC0305}">
  <dimension ref="A1:J119"/>
  <sheetViews>
    <sheetView tabSelected="1" workbookViewId="0">
      <selection activeCell="B9" sqref="B9"/>
    </sheetView>
  </sheetViews>
  <sheetFormatPr baseColWidth="10" defaultRowHeight="16" x14ac:dyDescent="0.2"/>
  <cols>
    <col min="1" max="1" width="26.6640625" bestFit="1" customWidth="1"/>
    <col min="2" max="2" width="11.6640625" customWidth="1"/>
    <col min="3" max="3" width="18.6640625" style="4" bestFit="1" customWidth="1"/>
    <col min="4" max="4" width="14.5" style="4" bestFit="1" customWidth="1"/>
    <col min="5" max="5" width="14.5" style="3" customWidth="1"/>
    <col min="6" max="6" width="17.6640625" style="4" bestFit="1" customWidth="1"/>
    <col min="7" max="7" width="15.83203125" style="4" bestFit="1" customWidth="1"/>
    <col min="8" max="8" width="15.83203125" style="3" customWidth="1"/>
    <col min="9" max="9" width="16.1640625" style="4" bestFit="1" customWidth="1"/>
    <col min="10" max="10" width="17.6640625" style="3" bestFit="1" customWidth="1"/>
  </cols>
  <sheetData>
    <row r="1" spans="1:10" x14ac:dyDescent="0.2">
      <c r="A1" t="s">
        <v>604</v>
      </c>
      <c r="B1" t="s">
        <v>607</v>
      </c>
      <c r="C1" s="4" t="s">
        <v>605</v>
      </c>
      <c r="D1" s="4" t="s">
        <v>608</v>
      </c>
      <c r="E1" s="3" t="s">
        <v>616</v>
      </c>
      <c r="F1" s="4" t="s">
        <v>606</v>
      </c>
      <c r="G1" s="4" t="s">
        <v>609</v>
      </c>
      <c r="H1" s="3" t="s">
        <v>617</v>
      </c>
      <c r="I1" s="4" t="s">
        <v>610</v>
      </c>
      <c r="J1" s="3" t="s">
        <v>611</v>
      </c>
    </row>
    <row r="2" spans="1:10" hidden="1" x14ac:dyDescent="0.2">
      <c r="A2" t="s">
        <v>18</v>
      </c>
      <c r="C2" s="1" t="e">
        <f>VALUE(_xlfn.XLOOKUP(imports[[#This Row],[Country]], crude[Reporter], crude[Quantity], "Not found", 0))</f>
        <v>#VALUE!</v>
      </c>
      <c r="D2" s="1" t="e">
        <f>imports[[#This Row],[Crude (kg)]]/(136.4*10^6)</f>
        <v>#VALUE!</v>
      </c>
      <c r="E2" s="1" t="e">
        <f>imports[[#This Row],[Crude (mb/y)]]/365</f>
        <v>#VALUE!</v>
      </c>
      <c r="F2" s="1">
        <f>VALUE(_xlfn.XLOOKUP(imports[[#This Row],[Country]], refined[Reporter], refined[Quantity], "Not found", 0))</f>
        <v>97459400000</v>
      </c>
      <c r="G2" s="1">
        <f>imports[[#This Row],[Refined (kg)]]/(137*10^6)</f>
        <v>711.3824817518248</v>
      </c>
      <c r="H2" s="1">
        <f>imports[[#This Row],[Refined (mb/y)]]/365</f>
        <v>1.948993100689931</v>
      </c>
      <c r="I2" s="1" t="e">
        <f>imports[[#This Row],[Crude (mb/y)]]+imports[[#This Row],[Refined (mb/y)]]</f>
        <v>#VALUE!</v>
      </c>
      <c r="J2" s="1" t="e">
        <f>imports[[#This Row],[Crude (mb/d)]]+imports[[#This Row],[Refined (mb/d)]]</f>
        <v>#VALUE!</v>
      </c>
    </row>
    <row r="3" spans="1:10" x14ac:dyDescent="0.2">
      <c r="A3" t="s">
        <v>9</v>
      </c>
      <c r="C3" s="4">
        <f>VALUE(_xlfn.XLOOKUP(imports[[#This Row],[Country]], crude[Reporter], crude[Quantity], "Not found", 0))</f>
        <v>553232000000</v>
      </c>
      <c r="D3" s="4">
        <f>imports[[#This Row],[Crude (kg)]]/(136.4*10^6)</f>
        <v>4055.9530791788857</v>
      </c>
      <c r="E3" s="3">
        <f>imports[[#This Row],[Crude (mb/y)]]/365</f>
        <v>11.112200216928454</v>
      </c>
      <c r="F3" s="4">
        <f>VALUE(_xlfn.XLOOKUP(imports[[#This Row],[Country]], refined[Reporter], refined[Quantity], "Not found", 0))</f>
        <v>48228700000</v>
      </c>
      <c r="G3" s="4">
        <f>imports[[#This Row],[Refined (kg)]]/(137*10^6)</f>
        <v>352.03430656934307</v>
      </c>
      <c r="H3" s="3">
        <f>imports[[#This Row],[Refined (mb/y)]]/365</f>
        <v>0.96447755224477549</v>
      </c>
      <c r="I3" s="4">
        <f>imports[[#This Row],[Crude (mb/y)]]+imports[[#This Row],[Refined (mb/y)]]</f>
        <v>4407.9873857482289</v>
      </c>
      <c r="J3" s="3">
        <f>imports[[#This Row],[Crude (mb/d)]]+imports[[#This Row],[Refined (mb/d)]]</f>
        <v>12.076677769173228</v>
      </c>
    </row>
    <row r="4" spans="1:10" x14ac:dyDescent="0.2">
      <c r="A4" t="s">
        <v>21</v>
      </c>
      <c r="C4" s="4">
        <f>VALUE(_xlfn.XLOOKUP(imports[[#This Row],[Country]], crude[Reporter], crude[Quantity], "Not found", 0))</f>
        <v>375657000000</v>
      </c>
      <c r="D4" s="4">
        <f>imports[[#This Row],[Crude (kg)]]/(136.4*10^6)</f>
        <v>2754.0835777126099</v>
      </c>
      <c r="E4" s="3">
        <f>imports[[#This Row],[Crude (mb/y)]]/365</f>
        <v>7.5454344594866027</v>
      </c>
      <c r="F4" s="4">
        <f>VALUE(_xlfn.XLOOKUP(imports[[#This Row],[Country]], refined[Reporter], refined[Quantity], "Not found", 0))</f>
        <v>92595700000</v>
      </c>
      <c r="G4" s="4">
        <f>imports[[#This Row],[Refined (kg)]]/(137*10^6)</f>
        <v>675.88102189781023</v>
      </c>
      <c r="H4" s="3">
        <f>imports[[#This Row],[Refined (mb/y)]]/365</f>
        <v>1.8517288271172883</v>
      </c>
      <c r="I4" s="4">
        <f>imports[[#This Row],[Crude (mb/y)]]+imports[[#This Row],[Refined (mb/y)]]</f>
        <v>3429.96459961042</v>
      </c>
      <c r="J4" s="3">
        <f>imports[[#This Row],[Crude (mb/d)]]+imports[[#This Row],[Refined (mb/d)]]</f>
        <v>9.3971632866038917</v>
      </c>
    </row>
    <row r="5" spans="1:10" x14ac:dyDescent="0.2">
      <c r="A5" t="s">
        <v>24</v>
      </c>
      <c r="C5" s="4">
        <f>VALUE(_xlfn.XLOOKUP(imports[[#This Row],[Country]], crude[Reporter], crude[Quantity], "Not found", 0))</f>
        <v>241750000000</v>
      </c>
      <c r="D5" s="4">
        <f>imports[[#This Row],[Crude (kg)]]/(136.4*10^6)</f>
        <v>1772.3607038123166</v>
      </c>
      <c r="E5" s="3">
        <f>imports[[#This Row],[Crude (mb/y)]]/365</f>
        <v>4.8557827501707305</v>
      </c>
      <c r="F5" s="4">
        <f>VALUE(_xlfn.XLOOKUP(imports[[#This Row],[Country]], refined[Reporter], refined[Quantity], "Not found", 0))</f>
        <v>13932900000</v>
      </c>
      <c r="G5" s="4">
        <f>imports[[#This Row],[Refined (kg)]]/(137*10^6)</f>
        <v>101.7</v>
      </c>
      <c r="H5" s="3">
        <f>imports[[#This Row],[Refined (mb/y)]]/365</f>
        <v>0.2786301369863014</v>
      </c>
      <c r="I5" s="4">
        <f>imports[[#This Row],[Crude (mb/y)]]+imports[[#This Row],[Refined (mb/y)]]</f>
        <v>1874.0607038123167</v>
      </c>
      <c r="J5" s="3">
        <f>imports[[#This Row],[Crude (mb/d)]]+imports[[#This Row],[Refined (mb/d)]]</f>
        <v>5.1344128871570316</v>
      </c>
    </row>
    <row r="6" spans="1:10" x14ac:dyDescent="0.2">
      <c r="A6" t="s">
        <v>41</v>
      </c>
      <c r="C6" s="4">
        <f>VALUE(_xlfn.XLOOKUP(imports[[#This Row],[Country]], crude[Reporter], crude[Quantity], "Not found", 0))</f>
        <v>177762000000</v>
      </c>
      <c r="D6" s="4">
        <f>imports[[#This Row],[Crude (kg)]]/(136.4*10^6)</f>
        <v>1303.2404692082112</v>
      </c>
      <c r="E6" s="3">
        <f>imports[[#This Row],[Crude (mb/y)]]/365</f>
        <v>3.5705218334471538</v>
      </c>
      <c r="F6" s="4">
        <f>VALUE(_xlfn.XLOOKUP(imports[[#This Row],[Country]], refined[Reporter], refined[Quantity], "Not found", 0))</f>
        <v>8402390000</v>
      </c>
      <c r="G6" s="4">
        <f>imports[[#This Row],[Refined (kg)]]/(137*10^6)</f>
        <v>61.331313868613137</v>
      </c>
      <c r="H6" s="3">
        <f>imports[[#This Row],[Refined (mb/y)]]/365</f>
        <v>0.16803099690030995</v>
      </c>
      <c r="I6" s="4">
        <f>imports[[#This Row],[Crude (mb/y)]]+imports[[#This Row],[Refined (mb/y)]]</f>
        <v>1364.5717830768242</v>
      </c>
      <c r="J6" s="3">
        <f>imports[[#This Row],[Crude (mb/d)]]+imports[[#This Row],[Refined (mb/d)]]</f>
        <v>3.7385528303474636</v>
      </c>
    </row>
    <row r="7" spans="1:10" x14ac:dyDescent="0.2">
      <c r="A7" t="s">
        <v>27</v>
      </c>
      <c r="C7" s="4">
        <f>VALUE(_xlfn.XLOOKUP(imports[[#This Row],[Country]], crude[Reporter], crude[Quantity], "Not found", 0))</f>
        <v>137180000000</v>
      </c>
      <c r="D7" s="4">
        <f>imports[[#This Row],[Crude (kg)]]/(136.4*10^6)</f>
        <v>1005.7184750733138</v>
      </c>
      <c r="E7" s="3">
        <f>imports[[#This Row],[Crude (mb/y)]]/365</f>
        <v>2.7553930823926405</v>
      </c>
      <c r="F7" s="4">
        <f>VALUE(_xlfn.XLOOKUP(imports[[#This Row],[Country]], refined[Reporter], refined[Quantity], "Not found", 0))</f>
        <v>36740900000</v>
      </c>
      <c r="G7" s="4">
        <f>imports[[#This Row],[Refined (kg)]]/(137*10^6)</f>
        <v>268.18175182481752</v>
      </c>
      <c r="H7" s="3">
        <f>imports[[#This Row],[Refined (mb/y)]]/365</f>
        <v>0.73474452554744529</v>
      </c>
      <c r="I7" s="4">
        <f>imports[[#This Row],[Crude (mb/y)]]+imports[[#This Row],[Refined (mb/y)]]</f>
        <v>1273.9002268981312</v>
      </c>
      <c r="J7" s="3">
        <f>imports[[#This Row],[Crude (mb/d)]]+imports[[#This Row],[Refined (mb/d)]]</f>
        <v>3.4901376079400857</v>
      </c>
    </row>
    <row r="8" spans="1:10" x14ac:dyDescent="0.2">
      <c r="A8" t="s">
        <v>30</v>
      </c>
      <c r="C8" s="4">
        <f>VALUE(_xlfn.XLOOKUP(imports[[#This Row],[Country]], crude[Reporter], crude[Quantity], "Not found", 0))</f>
        <v>114959000000</v>
      </c>
      <c r="D8" s="4">
        <f>imports[[#This Row],[Crude (kg)]]/(136.4*10^6)</f>
        <v>842.807917888563</v>
      </c>
      <c r="E8" s="3">
        <f>imports[[#This Row],[Crude (mb/y)]]/365</f>
        <v>2.3090627887357891</v>
      </c>
      <c r="F8" s="4">
        <f>VALUE(_xlfn.XLOOKUP(imports[[#This Row],[Country]], refined[Reporter], refined[Quantity], "Not found", 0))</f>
        <v>24341800000</v>
      </c>
      <c r="G8" s="4">
        <f>imports[[#This Row],[Refined (kg)]]/(137*10^6)</f>
        <v>177.67737226277373</v>
      </c>
      <c r="H8" s="3">
        <f>imports[[#This Row],[Refined (mb/y)]]/365</f>
        <v>0.48678732126787322</v>
      </c>
      <c r="I8" s="4">
        <f>imports[[#This Row],[Crude (mb/y)]]+imports[[#This Row],[Refined (mb/y)]]</f>
        <v>1020.4852901513367</v>
      </c>
      <c r="J8" s="3">
        <f>imports[[#This Row],[Crude (mb/d)]]+imports[[#This Row],[Refined (mb/d)]]</f>
        <v>2.7958501100036623</v>
      </c>
    </row>
    <row r="9" spans="1:10" x14ac:dyDescent="0.2">
      <c r="A9" t="s">
        <v>52</v>
      </c>
      <c r="C9" s="4">
        <f>VALUE(_xlfn.XLOOKUP(imports[[#This Row],[Country]], crude[Reporter], crude[Quantity], "Not found", 0))</f>
        <v>43505200000</v>
      </c>
      <c r="D9" s="4">
        <f>imports[[#This Row],[Crude (kg)]]/(136.4*10^6)</f>
        <v>318.95307917888562</v>
      </c>
      <c r="E9" s="3">
        <f>imports[[#This Row],[Crude (mb/y)]]/365</f>
        <v>0.87384405254489206</v>
      </c>
      <c r="F9" s="4">
        <f>VALUE(_xlfn.XLOOKUP(imports[[#This Row],[Country]], refined[Reporter], refined[Quantity], "Not found", 0))</f>
        <v>84919100000</v>
      </c>
      <c r="G9" s="4">
        <f>imports[[#This Row],[Refined (kg)]]/(137*10^6)</f>
        <v>619.84744525547444</v>
      </c>
      <c r="H9" s="3">
        <f>imports[[#This Row],[Refined (mb/y)]]/365</f>
        <v>1.6982121787821218</v>
      </c>
      <c r="I9" s="4">
        <f>imports[[#This Row],[Crude (mb/y)]]+imports[[#This Row],[Refined (mb/y)]]</f>
        <v>938.80052443436011</v>
      </c>
      <c r="J9" s="3">
        <f>imports[[#This Row],[Crude (mb/d)]]+imports[[#This Row],[Refined (mb/d)]]</f>
        <v>2.5720562313270139</v>
      </c>
    </row>
    <row r="10" spans="1:10" x14ac:dyDescent="0.2">
      <c r="A10" t="s">
        <v>33</v>
      </c>
      <c r="C10" s="4">
        <f>VALUE(_xlfn.XLOOKUP(imports[[#This Row],[Country]], crude[Reporter], crude[Quantity], "Not found", 0))</f>
        <v>79217900000</v>
      </c>
      <c r="D10" s="4">
        <f>imports[[#This Row],[Crude (kg)]]/(136.4*10^6)</f>
        <v>580.77639296187681</v>
      </c>
      <c r="E10" s="3">
        <f>imports[[#This Row],[Crude (mb/y)]]/365</f>
        <v>1.5911681998955529</v>
      </c>
      <c r="F10" s="4">
        <f>VALUE(_xlfn.XLOOKUP(imports[[#This Row],[Country]], refined[Reporter], refined[Quantity], "Not found", 0))</f>
        <v>41737100000</v>
      </c>
      <c r="G10" s="4">
        <f>imports[[#This Row],[Refined (kg)]]/(137*10^6)</f>
        <v>304.65036496350365</v>
      </c>
      <c r="H10" s="3">
        <f>imports[[#This Row],[Refined (mb/y)]]/365</f>
        <v>0.83465853414658531</v>
      </c>
      <c r="I10" s="4">
        <f>imports[[#This Row],[Crude (mb/y)]]+imports[[#This Row],[Refined (mb/y)]]</f>
        <v>885.42675792538046</v>
      </c>
      <c r="J10" s="3">
        <f>imports[[#This Row],[Crude (mb/d)]]+imports[[#This Row],[Refined (mb/d)]]</f>
        <v>2.425826734042138</v>
      </c>
    </row>
    <row r="11" spans="1:10" hidden="1" x14ac:dyDescent="0.2">
      <c r="A11" t="s">
        <v>74</v>
      </c>
      <c r="C11" s="1" t="e">
        <f>VALUE(_xlfn.XLOOKUP(imports[[#This Row],[Country]], crude[Reporter], crude[Quantity], "Not found", 0))</f>
        <v>#VALUE!</v>
      </c>
      <c r="D11" s="1" t="e">
        <f>imports[[#This Row],[Crude (kg)]]/(136.4*10^6)</f>
        <v>#VALUE!</v>
      </c>
      <c r="E11" s="1" t="e">
        <f>imports[[#This Row],[Crude (mb/y)]]/365</f>
        <v>#VALUE!</v>
      </c>
      <c r="F11" s="1">
        <f>VALUE(_xlfn.XLOOKUP(imports[[#This Row],[Country]], refined[Reporter], refined[Quantity], "Not found", 0))</f>
        <v>28727500000</v>
      </c>
      <c r="G11" s="1">
        <f>imports[[#This Row],[Refined (kg)]]/(137*10^6)</f>
        <v>209.6897810218978</v>
      </c>
      <c r="H11" s="1">
        <f>imports[[#This Row],[Refined (mb/y)]]/365</f>
        <v>0.57449255074492545</v>
      </c>
      <c r="I11" s="1" t="e">
        <f>imports[[#This Row],[Crude (mb/y)]]+imports[[#This Row],[Refined (mb/y)]]</f>
        <v>#VALUE!</v>
      </c>
      <c r="J11" s="1" t="e">
        <f>imports[[#This Row],[Crude (mb/d)]]+imports[[#This Row],[Refined (mb/d)]]</f>
        <v>#VALUE!</v>
      </c>
    </row>
    <row r="12" spans="1:10" hidden="1" x14ac:dyDescent="0.2">
      <c r="A12" t="s">
        <v>343</v>
      </c>
      <c r="C12" s="1" t="e">
        <f>VALUE(_xlfn.XLOOKUP(imports[[#This Row],[Country]], crude[Reporter], crude[Quantity], "Not found", 0))</f>
        <v>#VALUE!</v>
      </c>
      <c r="D12" s="1" t="e">
        <f>imports[[#This Row],[Crude (kg)]]/(136.4*10^6)</f>
        <v>#VALUE!</v>
      </c>
      <c r="E12" s="1" t="e">
        <f>imports[[#This Row],[Crude (mb/y)]]/365</f>
        <v>#VALUE!</v>
      </c>
      <c r="F12" s="1">
        <f>VALUE(_xlfn.XLOOKUP(imports[[#This Row],[Country]], refined[Reporter], refined[Quantity], "Not found", 0))</f>
        <v>32921800000</v>
      </c>
      <c r="G12" s="1">
        <f>imports[[#This Row],[Refined (kg)]]/(137*10^6)</f>
        <v>240.30510948905109</v>
      </c>
      <c r="H12" s="1">
        <f>imports[[#This Row],[Refined (mb/y)]]/365</f>
        <v>0.65837016298370166</v>
      </c>
      <c r="I12" s="1" t="e">
        <f>imports[[#This Row],[Crude (mb/y)]]+imports[[#This Row],[Refined (mb/y)]]</f>
        <v>#VALUE!</v>
      </c>
      <c r="J12" s="1" t="e">
        <f>imports[[#This Row],[Crude (mb/d)]]+imports[[#This Row],[Refined (mb/d)]]</f>
        <v>#VALUE!</v>
      </c>
    </row>
    <row r="13" spans="1:10" x14ac:dyDescent="0.2">
      <c r="A13" t="s">
        <v>36</v>
      </c>
      <c r="C13" s="4">
        <f>VALUE(_xlfn.XLOOKUP(imports[[#This Row],[Country]], crude[Reporter], crude[Quantity], "Not found", 0))</f>
        <v>78537000000</v>
      </c>
      <c r="D13" s="4">
        <f>imports[[#This Row],[Crude (kg)]]/(136.4*10^6)</f>
        <v>575.78445747800583</v>
      </c>
      <c r="E13" s="3">
        <f>imports[[#This Row],[Crude (mb/y)]]/365</f>
        <v>1.5774916643233037</v>
      </c>
      <c r="F13" s="4">
        <f>VALUE(_xlfn.XLOOKUP(imports[[#This Row],[Country]], refined[Reporter], refined[Quantity], "Not found", 0))</f>
        <v>32625200000</v>
      </c>
      <c r="G13" s="4">
        <f>imports[[#This Row],[Refined (kg)]]/(137*10^6)</f>
        <v>238.14014598540146</v>
      </c>
      <c r="H13" s="3">
        <f>imports[[#This Row],[Refined (mb/y)]]/365</f>
        <v>0.65243875612438751</v>
      </c>
      <c r="I13" s="4">
        <f>imports[[#This Row],[Crude (mb/y)]]+imports[[#This Row],[Refined (mb/y)]]</f>
        <v>813.92460346340727</v>
      </c>
      <c r="J13" s="3">
        <f>imports[[#This Row],[Crude (mb/d)]]+imports[[#This Row],[Refined (mb/d)]]</f>
        <v>2.2299304204476913</v>
      </c>
    </row>
    <row r="14" spans="1:10" hidden="1" x14ac:dyDescent="0.2">
      <c r="A14" t="s">
        <v>76</v>
      </c>
      <c r="C14" s="1" t="e">
        <f>VALUE(_xlfn.XLOOKUP(imports[[#This Row],[Country]], crude[Reporter], crude[Quantity], "Not found", 0))</f>
        <v>#VALUE!</v>
      </c>
      <c r="D14" s="1" t="e">
        <f>imports[[#This Row],[Crude (kg)]]/(136.4*10^6)</f>
        <v>#VALUE!</v>
      </c>
      <c r="E14" s="1" t="e">
        <f>imports[[#This Row],[Crude (mb/y)]]/365</f>
        <v>#VALUE!</v>
      </c>
      <c r="F14" s="1">
        <f>VALUE(_xlfn.XLOOKUP(imports[[#This Row],[Country]], refined[Reporter], refined[Quantity], "Not found", 0))</f>
        <v>20726900000</v>
      </c>
      <c r="G14" s="1">
        <f>imports[[#This Row],[Refined (kg)]]/(137*10^6)</f>
        <v>151.29124087591242</v>
      </c>
      <c r="H14" s="1">
        <f>imports[[#This Row],[Refined (mb/y)]]/365</f>
        <v>0.41449655034496552</v>
      </c>
      <c r="I14" s="1" t="e">
        <f>imports[[#This Row],[Crude (mb/y)]]+imports[[#This Row],[Refined (mb/y)]]</f>
        <v>#VALUE!</v>
      </c>
      <c r="J14" s="1" t="e">
        <f>imports[[#This Row],[Crude (mb/d)]]+imports[[#This Row],[Refined (mb/d)]]</f>
        <v>#VALUE!</v>
      </c>
    </row>
    <row r="15" spans="1:10" x14ac:dyDescent="0.2">
      <c r="A15" t="s">
        <v>44</v>
      </c>
      <c r="C15" s="4">
        <f>VALUE(_xlfn.XLOOKUP(imports[[#This Row],[Country]], crude[Reporter], crude[Quantity], "Not found", 0))</f>
        <v>54544900000</v>
      </c>
      <c r="D15" s="4">
        <f>imports[[#This Row],[Crude (kg)]]/(136.4*10^6)</f>
        <v>399.88929618768327</v>
      </c>
      <c r="E15" s="3">
        <f>imports[[#This Row],[Crude (mb/y)]]/365</f>
        <v>1.0955871128429679</v>
      </c>
      <c r="F15" s="4">
        <f>VALUE(_xlfn.XLOOKUP(imports[[#This Row],[Country]], refined[Reporter], refined[Quantity], "Not found", 0))</f>
        <v>14882900000</v>
      </c>
      <c r="G15" s="4">
        <f>imports[[#This Row],[Refined (kg)]]/(137*10^6)</f>
        <v>108.63430656934307</v>
      </c>
      <c r="H15" s="3">
        <f>imports[[#This Row],[Refined (mb/y)]]/365</f>
        <v>0.2976282371762824</v>
      </c>
      <c r="I15" s="4">
        <f>imports[[#This Row],[Crude (mb/y)]]+imports[[#This Row],[Refined (mb/y)]]</f>
        <v>508.52360275702631</v>
      </c>
      <c r="J15" s="3">
        <f>imports[[#This Row],[Crude (mb/d)]]+imports[[#This Row],[Refined (mb/d)]]</f>
        <v>1.3932153500192503</v>
      </c>
    </row>
    <row r="16" spans="1:10" hidden="1" x14ac:dyDescent="0.2">
      <c r="A16" t="s">
        <v>58</v>
      </c>
      <c r="C16" s="1" t="e">
        <f>VALUE(_xlfn.XLOOKUP(imports[[#This Row],[Country]], crude[Reporter], crude[Quantity], "Not found", 0))</f>
        <v>#VALUE!</v>
      </c>
      <c r="D16" s="1" t="e">
        <f>imports[[#This Row],[Crude (kg)]]/(136.4*10^6)</f>
        <v>#VALUE!</v>
      </c>
      <c r="E16" s="1" t="e">
        <f>imports[[#This Row],[Crude (mb/y)]]/365</f>
        <v>#VALUE!</v>
      </c>
      <c r="F16" s="1">
        <f>VALUE(_xlfn.XLOOKUP(imports[[#This Row],[Country]], refined[Reporter], refined[Quantity], "Not found", 0))</f>
        <v>18447800000</v>
      </c>
      <c r="G16" s="1">
        <f>imports[[#This Row],[Refined (kg)]]/(137*10^6)</f>
        <v>134.65547445255476</v>
      </c>
      <c r="H16" s="1">
        <f>imports[[#This Row],[Refined (mb/y)]]/365</f>
        <v>0.36891910808919109</v>
      </c>
      <c r="I16" s="1" t="e">
        <f>imports[[#This Row],[Crude (mb/y)]]+imports[[#This Row],[Refined (mb/y)]]</f>
        <v>#VALUE!</v>
      </c>
      <c r="J16" s="1" t="e">
        <f>imports[[#This Row],[Crude (mb/d)]]+imports[[#This Row],[Refined (mb/d)]]</f>
        <v>#VALUE!</v>
      </c>
    </row>
    <row r="17" spans="1:10" hidden="1" x14ac:dyDescent="0.2">
      <c r="A17" t="s">
        <v>356</v>
      </c>
      <c r="C17" s="1" t="e">
        <f>VALUE(_xlfn.XLOOKUP(imports[[#This Row],[Country]], crude[Reporter], crude[Quantity], "Not found", 0))</f>
        <v>#VALUE!</v>
      </c>
      <c r="D17" s="1" t="e">
        <f>imports[[#This Row],[Crude (kg)]]/(136.4*10^6)</f>
        <v>#VALUE!</v>
      </c>
      <c r="E17" s="1" t="e">
        <f>imports[[#This Row],[Crude (mb/y)]]/365</f>
        <v>#VALUE!</v>
      </c>
      <c r="F17" s="1">
        <f>VALUE(_xlfn.XLOOKUP(imports[[#This Row],[Country]], refined[Reporter], refined[Quantity], "Not found", 0))</f>
        <v>20301400000</v>
      </c>
      <c r="G17" s="1">
        <f>imports[[#This Row],[Refined (kg)]]/(137*10^6)</f>
        <v>148.18540145985401</v>
      </c>
      <c r="H17" s="1">
        <f>imports[[#This Row],[Refined (mb/y)]]/365</f>
        <v>0.40598740125987398</v>
      </c>
      <c r="I17" s="1" t="e">
        <f>imports[[#This Row],[Crude (mb/y)]]+imports[[#This Row],[Refined (mb/y)]]</f>
        <v>#VALUE!</v>
      </c>
      <c r="J17" s="1" t="e">
        <f>imports[[#This Row],[Crude (mb/d)]]+imports[[#This Row],[Refined (mb/d)]]</f>
        <v>#VALUE!</v>
      </c>
    </row>
    <row r="18" spans="1:10" x14ac:dyDescent="0.2">
      <c r="A18" t="s">
        <v>90</v>
      </c>
      <c r="C18" s="4">
        <f>VALUE(_xlfn.XLOOKUP(imports[[#This Row],[Country]], crude[Reporter], crude[Quantity], "Not found", 0))</f>
        <v>9201580000</v>
      </c>
      <c r="D18" s="4">
        <f>imports[[#This Row],[Crude (kg)]]/(136.4*10^6)</f>
        <v>67.460263929618762</v>
      </c>
      <c r="E18" s="3">
        <f>imports[[#This Row],[Crude (mb/y)]]/365</f>
        <v>0.18482264090306511</v>
      </c>
      <c r="F18" s="4">
        <f>VALUE(_xlfn.XLOOKUP(imports[[#This Row],[Country]], refined[Reporter], refined[Quantity], "Not found", 0))</f>
        <v>50789600000</v>
      </c>
      <c r="G18" s="4">
        <f>imports[[#This Row],[Refined (kg)]]/(137*10^6)</f>
        <v>370.7270072992701</v>
      </c>
      <c r="H18" s="3">
        <f>imports[[#This Row],[Refined (mb/y)]]/365</f>
        <v>1.0156904309569044</v>
      </c>
      <c r="I18" s="4">
        <f>imports[[#This Row],[Crude (mb/y)]]+imports[[#This Row],[Refined (mb/y)]]</f>
        <v>438.18727122888885</v>
      </c>
      <c r="J18" s="3">
        <f>imports[[#This Row],[Crude (mb/d)]]+imports[[#This Row],[Refined (mb/d)]]</f>
        <v>1.2005130718599695</v>
      </c>
    </row>
    <row r="19" spans="1:10" x14ac:dyDescent="0.2">
      <c r="A19" t="s">
        <v>55</v>
      </c>
      <c r="C19" s="4">
        <f>VALUE(_xlfn.XLOOKUP(imports[[#This Row],[Country]], crude[Reporter], crude[Quantity], "Not found", 0))</f>
        <v>45330100000</v>
      </c>
      <c r="D19" s="4">
        <f>imports[[#This Row],[Crude (kg)]]/(136.4*10^6)</f>
        <v>332.33211143695013</v>
      </c>
      <c r="E19" s="3">
        <f>imports[[#This Row],[Crude (mb/y)]]/365</f>
        <v>0.91049893544369898</v>
      </c>
      <c r="F19" s="4">
        <f>VALUE(_xlfn.XLOOKUP(imports[[#This Row],[Country]], refined[Reporter], refined[Quantity], "Not found", 0))</f>
        <v>13709200000</v>
      </c>
      <c r="G19" s="4">
        <f>imports[[#This Row],[Refined (kg)]]/(137*10^6)</f>
        <v>100.06715328467153</v>
      </c>
      <c r="H19" s="3">
        <f>imports[[#This Row],[Refined (mb/y)]]/365</f>
        <v>0.27415658434156587</v>
      </c>
      <c r="I19" s="4">
        <f>imports[[#This Row],[Crude (mb/y)]]+imports[[#This Row],[Refined (mb/y)]]</f>
        <v>432.39926472162165</v>
      </c>
      <c r="J19" s="3">
        <f>imports[[#This Row],[Crude (mb/d)]]+imports[[#This Row],[Refined (mb/d)]]</f>
        <v>1.1846555197852648</v>
      </c>
    </row>
    <row r="20" spans="1:10" x14ac:dyDescent="0.2">
      <c r="A20" t="s">
        <v>68</v>
      </c>
      <c r="C20" s="4">
        <f>VALUE(_xlfn.XLOOKUP(imports[[#This Row],[Country]], crude[Reporter], crude[Quantity], "Not found", 0))</f>
        <v>22122700000</v>
      </c>
      <c r="D20" s="4">
        <f>imports[[#This Row],[Crude (kg)]]/(136.4*10^6)</f>
        <v>162.18988269794721</v>
      </c>
      <c r="E20" s="3">
        <f>imports[[#This Row],[Crude (mb/y)]]/365</f>
        <v>0.44435584300807457</v>
      </c>
      <c r="F20" s="4">
        <f>VALUE(_xlfn.XLOOKUP(imports[[#This Row],[Country]], refined[Reporter], refined[Quantity], "Not found", 0))</f>
        <v>36875400000</v>
      </c>
      <c r="G20" s="4">
        <f>imports[[#This Row],[Refined (kg)]]/(137*10^6)</f>
        <v>269.16350364963506</v>
      </c>
      <c r="H20" s="3">
        <f>imports[[#This Row],[Refined (mb/y)]]/365</f>
        <v>0.73743425657434258</v>
      </c>
      <c r="I20" s="4">
        <f>imports[[#This Row],[Crude (mb/y)]]+imports[[#This Row],[Refined (mb/y)]]</f>
        <v>431.35338634758227</v>
      </c>
      <c r="J20" s="3">
        <f>imports[[#This Row],[Crude (mb/d)]]+imports[[#This Row],[Refined (mb/d)]]</f>
        <v>1.1817900995824171</v>
      </c>
    </row>
    <row r="21" spans="1:10" hidden="1" x14ac:dyDescent="0.2">
      <c r="A21" t="s">
        <v>365</v>
      </c>
      <c r="C21" s="1" t="e">
        <f>VALUE(_xlfn.XLOOKUP(imports[[#This Row],[Country]], crude[Reporter], crude[Quantity], "Not found", 0))</f>
        <v>#VALUE!</v>
      </c>
      <c r="D21" s="1" t="e">
        <f>imports[[#This Row],[Crude (kg)]]/(136.4*10^6)</f>
        <v>#VALUE!</v>
      </c>
      <c r="E21" s="1" t="e">
        <f>imports[[#This Row],[Crude (mb/y)]]/365</f>
        <v>#VALUE!</v>
      </c>
      <c r="F21" s="1">
        <f>VALUE(_xlfn.XLOOKUP(imports[[#This Row],[Country]], refined[Reporter], refined[Quantity], "Not found", 0))</f>
        <v>17885000000</v>
      </c>
      <c r="G21" s="1">
        <f>imports[[#This Row],[Refined (kg)]]/(137*10^6)</f>
        <v>130.54744525547446</v>
      </c>
      <c r="H21" s="1">
        <f>imports[[#This Row],[Refined (mb/y)]]/365</f>
        <v>0.35766423357664234</v>
      </c>
      <c r="I21" s="1" t="e">
        <f>imports[[#This Row],[Crude (mb/y)]]+imports[[#This Row],[Refined (mb/y)]]</f>
        <v>#VALUE!</v>
      </c>
      <c r="J21" s="1" t="e">
        <f>imports[[#This Row],[Crude (mb/d)]]+imports[[#This Row],[Refined (mb/d)]]</f>
        <v>#VALUE!</v>
      </c>
    </row>
    <row r="22" spans="1:10" x14ac:dyDescent="0.2">
      <c r="A22" t="s">
        <v>65</v>
      </c>
      <c r="C22" s="4">
        <f>VALUE(_xlfn.XLOOKUP(imports[[#This Row],[Country]], crude[Reporter], crude[Quantity], "Not found", 0))</f>
        <v>23932400000</v>
      </c>
      <c r="D22" s="4">
        <f>imports[[#This Row],[Crude (kg)]]/(136.4*10^6)</f>
        <v>175.45747800586511</v>
      </c>
      <c r="E22" s="3">
        <f>imports[[#This Row],[Crude (mb/y)]]/365</f>
        <v>0.480705419194151</v>
      </c>
      <c r="F22" s="4">
        <f>VALUE(_xlfn.XLOOKUP(imports[[#This Row],[Country]], refined[Reporter], refined[Quantity], "Not found", 0))</f>
        <v>27492700000</v>
      </c>
      <c r="G22" s="4">
        <f>imports[[#This Row],[Refined (kg)]]/(137*10^6)</f>
        <v>200.67664233576642</v>
      </c>
      <c r="H22" s="3">
        <f>imports[[#This Row],[Refined (mb/y)]]/365</f>
        <v>0.5497990200979902</v>
      </c>
      <c r="I22" s="4">
        <f>imports[[#This Row],[Crude (mb/y)]]+imports[[#This Row],[Refined (mb/y)]]</f>
        <v>376.1341203416315</v>
      </c>
      <c r="J22" s="3">
        <f>imports[[#This Row],[Crude (mb/d)]]+imports[[#This Row],[Refined (mb/d)]]</f>
        <v>1.0305044392921412</v>
      </c>
    </row>
    <row r="23" spans="1:10" x14ac:dyDescent="0.2">
      <c r="A23" t="s">
        <v>60</v>
      </c>
      <c r="C23" s="4">
        <f>VALUE(_xlfn.XLOOKUP(imports[[#This Row],[Country]], crude[Reporter], crude[Quantity], "Not found", 0))</f>
        <v>24977100000</v>
      </c>
      <c r="D23" s="4">
        <f>imports[[#This Row],[Crude (kg)]]/(136.4*10^6)</f>
        <v>183.11656891495602</v>
      </c>
      <c r="E23" s="3">
        <f>imports[[#This Row],[Crude (mb/y)]]/365</f>
        <v>0.50168922990398912</v>
      </c>
      <c r="F23" s="4">
        <f>VALUE(_xlfn.XLOOKUP(imports[[#This Row],[Country]], refined[Reporter], refined[Quantity], "Not found", 0))</f>
        <v>10155700000</v>
      </c>
      <c r="G23" s="4">
        <f>imports[[#This Row],[Refined (kg)]]/(137*10^6)</f>
        <v>74.129197080291974</v>
      </c>
      <c r="H23" s="3">
        <f>imports[[#This Row],[Refined (mb/y)]]/365</f>
        <v>0.20309369063093691</v>
      </c>
      <c r="I23" s="4">
        <f>imports[[#This Row],[Crude (mb/y)]]+imports[[#This Row],[Refined (mb/y)]]</f>
        <v>257.24576599524801</v>
      </c>
      <c r="J23" s="3">
        <f>imports[[#This Row],[Crude (mb/d)]]+imports[[#This Row],[Refined (mb/d)]]</f>
        <v>0.70478292053492608</v>
      </c>
    </row>
    <row r="24" spans="1:10" x14ac:dyDescent="0.2">
      <c r="A24" t="s">
        <v>96</v>
      </c>
      <c r="C24" s="4">
        <f>VALUE(_xlfn.XLOOKUP(imports[[#This Row],[Country]], crude[Reporter], crude[Quantity], "Not found", 0))</f>
        <v>8181530000</v>
      </c>
      <c r="D24" s="4">
        <f>imports[[#This Row],[Crude (kg)]]/(136.4*10^6)</f>
        <v>59.981891495601175</v>
      </c>
      <c r="E24" s="3">
        <f>imports[[#This Row],[Crude (mb/y)]]/365</f>
        <v>0.16433394930301692</v>
      </c>
      <c r="F24" s="4">
        <f>VALUE(_xlfn.XLOOKUP(imports[[#This Row],[Country]], refined[Reporter], refined[Quantity], "Not found", 0))</f>
        <v>17950600000</v>
      </c>
      <c r="G24" s="4">
        <f>imports[[#This Row],[Refined (kg)]]/(137*10^6)</f>
        <v>131.02627737226277</v>
      </c>
      <c r="H24" s="3">
        <f>imports[[#This Row],[Refined (mb/y)]]/365</f>
        <v>0.35897610238976102</v>
      </c>
      <c r="I24" s="4">
        <f>imports[[#This Row],[Crude (mb/y)]]+imports[[#This Row],[Refined (mb/y)]]</f>
        <v>191.00816886786396</v>
      </c>
      <c r="J24" s="3">
        <f>imports[[#This Row],[Crude (mb/d)]]+imports[[#This Row],[Refined (mb/d)]]</f>
        <v>0.523310051692778</v>
      </c>
    </row>
    <row r="25" spans="1:10" hidden="1" x14ac:dyDescent="0.2">
      <c r="A25" t="s">
        <v>292</v>
      </c>
      <c r="C25" s="1" t="e">
        <f>VALUE(_xlfn.XLOOKUP(imports[[#This Row],[Country]], crude[Reporter], crude[Quantity], "Not found", 0))</f>
        <v>#VALUE!</v>
      </c>
      <c r="D25" s="1" t="e">
        <f>imports[[#This Row],[Crude (kg)]]/(136.4*10^6)</f>
        <v>#VALUE!</v>
      </c>
      <c r="E25" s="1" t="e">
        <f>imports[[#This Row],[Crude (mb/y)]]/365</f>
        <v>#VALUE!</v>
      </c>
      <c r="F25" s="1">
        <f>VALUE(_xlfn.XLOOKUP(imports[[#This Row],[Country]], refined[Reporter], refined[Quantity], "Not found", 0))</f>
        <v>9905040000</v>
      </c>
      <c r="G25" s="1">
        <f>imports[[#This Row],[Refined (kg)]]/(137*10^6)</f>
        <v>72.299562043795618</v>
      </c>
      <c r="H25" s="1">
        <f>imports[[#This Row],[Refined (mb/y)]]/365</f>
        <v>0.19808099190080991</v>
      </c>
      <c r="I25" s="1" t="e">
        <f>imports[[#This Row],[Crude (mb/y)]]+imports[[#This Row],[Refined (mb/y)]]</f>
        <v>#VALUE!</v>
      </c>
      <c r="J25" s="1" t="e">
        <f>imports[[#This Row],[Crude (mb/d)]]+imports[[#This Row],[Refined (mb/d)]]</f>
        <v>#VALUE!</v>
      </c>
    </row>
    <row r="26" spans="1:10" x14ac:dyDescent="0.2">
      <c r="A26" t="s">
        <v>71</v>
      </c>
      <c r="C26" s="4">
        <f>VALUE(_xlfn.XLOOKUP(imports[[#This Row],[Country]], crude[Reporter], crude[Quantity], "Not found", 0))</f>
        <v>17740100000</v>
      </c>
      <c r="D26" s="4">
        <f>imports[[#This Row],[Crude (kg)]]/(136.4*10^6)</f>
        <v>130.05938416422288</v>
      </c>
      <c r="E26" s="3">
        <f>imports[[#This Row],[Crude (mb/y)]]/365</f>
        <v>0.35632707990198048</v>
      </c>
      <c r="F26" s="4">
        <f>VALUE(_xlfn.XLOOKUP(imports[[#This Row],[Country]], refined[Reporter], refined[Quantity], "Not found", 0))</f>
        <v>6037770000</v>
      </c>
      <c r="G26" s="4">
        <f>imports[[#This Row],[Refined (kg)]]/(137*10^6)</f>
        <v>44.071313868613139</v>
      </c>
      <c r="H26" s="3">
        <f>imports[[#This Row],[Refined (mb/y)]]/365</f>
        <v>0.12074332566743326</v>
      </c>
      <c r="I26" s="4">
        <f>imports[[#This Row],[Crude (mb/y)]]+imports[[#This Row],[Refined (mb/y)]]</f>
        <v>174.13069803283602</v>
      </c>
      <c r="J26" s="3">
        <f>imports[[#This Row],[Crude (mb/d)]]+imports[[#This Row],[Refined (mb/d)]]</f>
        <v>0.47707040556941371</v>
      </c>
    </row>
    <row r="27" spans="1:10" x14ac:dyDescent="0.2">
      <c r="A27" t="s">
        <v>119</v>
      </c>
      <c r="C27" s="4">
        <f>VALUE(_xlfn.XLOOKUP(imports[[#This Row],[Country]], crude[Reporter], crude[Quantity], "Not found", 0))</f>
        <v>6483420000</v>
      </c>
      <c r="D27" s="4">
        <f>imports[[#This Row],[Crude (kg)]]/(136.4*10^6)</f>
        <v>47.53240469208211</v>
      </c>
      <c r="E27" s="3">
        <f>imports[[#This Row],[Crude (mb/y)]]/365</f>
        <v>0.13022576627967702</v>
      </c>
      <c r="F27" s="4">
        <f>VALUE(_xlfn.XLOOKUP(imports[[#This Row],[Country]], refined[Reporter], refined[Quantity], "Not found", 0))</f>
        <v>14567800000</v>
      </c>
      <c r="G27" s="4">
        <f>imports[[#This Row],[Refined (kg)]]/(137*10^6)</f>
        <v>106.33430656934307</v>
      </c>
      <c r="H27" s="3">
        <f>imports[[#This Row],[Refined (mb/y)]]/365</f>
        <v>0.29132686731326868</v>
      </c>
      <c r="I27" s="4">
        <f>imports[[#This Row],[Crude (mb/y)]]+imports[[#This Row],[Refined (mb/y)]]</f>
        <v>153.86671126142517</v>
      </c>
      <c r="J27" s="3">
        <f>imports[[#This Row],[Crude (mb/d)]]+imports[[#This Row],[Refined (mb/d)]]</f>
        <v>0.4215526335929457</v>
      </c>
    </row>
    <row r="28" spans="1:10" x14ac:dyDescent="0.2">
      <c r="A28" t="s">
        <v>84</v>
      </c>
      <c r="C28" s="4">
        <f>VALUE(_xlfn.XLOOKUP(imports[[#This Row],[Country]], crude[Reporter], crude[Quantity], "Not found", 0))</f>
        <v>9748250000</v>
      </c>
      <c r="D28" s="4">
        <f>imports[[#This Row],[Crude (kg)]]/(136.4*10^6)</f>
        <v>71.468108504398828</v>
      </c>
      <c r="E28" s="3">
        <f>imports[[#This Row],[Crude (mb/y)]]/365</f>
        <v>0.19580303699835294</v>
      </c>
      <c r="F28" s="4">
        <f>VALUE(_xlfn.XLOOKUP(imports[[#This Row],[Country]], refined[Reporter], refined[Quantity], "Not found", 0))</f>
        <v>10293100000</v>
      </c>
      <c r="G28" s="4">
        <f>imports[[#This Row],[Refined (kg)]]/(137*10^6)</f>
        <v>75.13211678832117</v>
      </c>
      <c r="H28" s="3">
        <f>imports[[#This Row],[Refined (mb/y)]]/365</f>
        <v>0.20584141585841417</v>
      </c>
      <c r="I28" s="4">
        <f>imports[[#This Row],[Crude (mb/y)]]+imports[[#This Row],[Refined (mb/y)]]</f>
        <v>146.60022529271998</v>
      </c>
      <c r="J28" s="3">
        <f>imports[[#This Row],[Crude (mb/d)]]+imports[[#This Row],[Refined (mb/d)]]</f>
        <v>0.40164445285676709</v>
      </c>
    </row>
    <row r="29" spans="1:10" x14ac:dyDescent="0.2">
      <c r="A29" t="s">
        <v>99</v>
      </c>
      <c r="C29" s="4">
        <f>VALUE(_xlfn.XLOOKUP(imports[[#This Row],[Country]], crude[Reporter], crude[Quantity], "Not found", 0))</f>
        <v>8895070000</v>
      </c>
      <c r="D29" s="4">
        <f>imports[[#This Row],[Crude (kg)]]/(136.4*10^6)</f>
        <v>65.21312316715543</v>
      </c>
      <c r="E29" s="3">
        <f>imports[[#This Row],[Crude (mb/y)]]/365</f>
        <v>0.17866609086891899</v>
      </c>
      <c r="F29" s="4">
        <f>VALUE(_xlfn.XLOOKUP(imports[[#This Row],[Country]], refined[Reporter], refined[Quantity], "Not found", 0))</f>
        <v>8958650000</v>
      </c>
      <c r="G29" s="4">
        <f>imports[[#This Row],[Refined (kg)]]/(137*10^6)</f>
        <v>65.391605839416059</v>
      </c>
      <c r="H29" s="3">
        <f>imports[[#This Row],[Refined (mb/y)]]/365</f>
        <v>0.17915508449155085</v>
      </c>
      <c r="I29" s="4">
        <f>imports[[#This Row],[Crude (mb/y)]]+imports[[#This Row],[Refined (mb/y)]]</f>
        <v>130.60472900657149</v>
      </c>
      <c r="J29" s="3">
        <f>imports[[#This Row],[Crude (mb/d)]]+imports[[#This Row],[Refined (mb/d)]]</f>
        <v>0.35782117536046987</v>
      </c>
    </row>
    <row r="30" spans="1:10" x14ac:dyDescent="0.2">
      <c r="A30" t="s">
        <v>81</v>
      </c>
      <c r="C30" s="4">
        <f>VALUE(_xlfn.XLOOKUP(imports[[#This Row],[Country]], crude[Reporter], crude[Quantity], "Not found", 0))</f>
        <v>10687400000</v>
      </c>
      <c r="D30" s="4">
        <f>imports[[#This Row],[Crude (kg)]]/(136.4*10^6)</f>
        <v>78.353372434017601</v>
      </c>
      <c r="E30" s="3">
        <f>imports[[#This Row],[Crude (mb/y)]]/365</f>
        <v>0.21466677379182905</v>
      </c>
      <c r="F30" s="4">
        <f>VALUE(_xlfn.XLOOKUP(imports[[#This Row],[Country]], refined[Reporter], refined[Quantity], "Not found", 0))</f>
        <v>3609330000</v>
      </c>
      <c r="G30" s="4">
        <f>imports[[#This Row],[Refined (kg)]]/(137*10^6)</f>
        <v>26.345474452554743</v>
      </c>
      <c r="H30" s="3">
        <f>imports[[#This Row],[Refined (mb/y)]]/365</f>
        <v>7.217938206179382E-2</v>
      </c>
      <c r="I30" s="4">
        <f>imports[[#This Row],[Crude (mb/y)]]+imports[[#This Row],[Refined (mb/y)]]</f>
        <v>104.69884688657234</v>
      </c>
      <c r="J30" s="3">
        <f>imports[[#This Row],[Crude (mb/d)]]+imports[[#This Row],[Refined (mb/d)]]</f>
        <v>0.28684615585362289</v>
      </c>
    </row>
    <row r="31" spans="1:10" hidden="1" x14ac:dyDescent="0.2">
      <c r="A31" t="s">
        <v>110</v>
      </c>
      <c r="C31" s="1" t="e">
        <f>VALUE(_xlfn.XLOOKUP(imports[[#This Row],[Country]], crude[Reporter], crude[Quantity], "Not found", 0))</f>
        <v>#VALUE!</v>
      </c>
      <c r="D31" s="1" t="e">
        <f>imports[[#This Row],[Crude (kg)]]/(136.4*10^6)</f>
        <v>#VALUE!</v>
      </c>
      <c r="E31" s="1" t="e">
        <f>imports[[#This Row],[Crude (mb/y)]]/365</f>
        <v>#VALUE!</v>
      </c>
      <c r="F31" s="1">
        <f>VALUE(_xlfn.XLOOKUP(imports[[#This Row],[Country]], refined[Reporter], refined[Quantity], "Not found", 0))</f>
        <v>7957500000</v>
      </c>
      <c r="G31" s="1">
        <f>imports[[#This Row],[Refined (kg)]]/(137*10^6)</f>
        <v>58.083941605839414</v>
      </c>
      <c r="H31" s="1">
        <f>imports[[#This Row],[Refined (mb/y)]]/365</f>
        <v>0.15913408659134085</v>
      </c>
      <c r="I31" s="1" t="e">
        <f>imports[[#This Row],[Crude (mb/y)]]+imports[[#This Row],[Refined (mb/y)]]</f>
        <v>#VALUE!</v>
      </c>
      <c r="J31" s="1" t="e">
        <f>imports[[#This Row],[Crude (mb/d)]]+imports[[#This Row],[Refined (mb/d)]]</f>
        <v>#VALUE!</v>
      </c>
    </row>
    <row r="32" spans="1:10" x14ac:dyDescent="0.2">
      <c r="A32" t="s">
        <v>104</v>
      </c>
      <c r="C32" s="4">
        <f>VALUE(_xlfn.XLOOKUP(imports[[#This Row],[Country]], crude[Reporter], crude[Quantity], "Not found", 0))</f>
        <v>7668800000</v>
      </c>
      <c r="D32" s="4">
        <f>imports[[#This Row],[Crude (kg)]]/(136.4*10^6)</f>
        <v>56.222873900293258</v>
      </c>
      <c r="E32" s="3">
        <f>imports[[#This Row],[Crude (mb/y)]]/365</f>
        <v>0.15403527095970757</v>
      </c>
      <c r="F32" s="4">
        <f>VALUE(_xlfn.XLOOKUP(imports[[#This Row],[Country]], refined[Reporter], refined[Quantity], "Not found", 0))</f>
        <v>5365260000</v>
      </c>
      <c r="G32" s="4">
        <f>imports[[#This Row],[Refined (kg)]]/(137*10^6)</f>
        <v>39.162481751824821</v>
      </c>
      <c r="H32" s="3">
        <f>imports[[#This Row],[Refined (mb/y)]]/365</f>
        <v>0.10729447055294472</v>
      </c>
      <c r="I32" s="4">
        <f>imports[[#This Row],[Crude (mb/y)]]+imports[[#This Row],[Refined (mb/y)]]</f>
        <v>95.385355652118079</v>
      </c>
      <c r="J32" s="3">
        <f>imports[[#This Row],[Crude (mb/d)]]+imports[[#This Row],[Refined (mb/d)]]</f>
        <v>0.26132974151265231</v>
      </c>
    </row>
    <row r="33" spans="1:10" x14ac:dyDescent="0.2">
      <c r="A33" t="s">
        <v>78</v>
      </c>
      <c r="C33" s="4">
        <f>VALUE(_xlfn.XLOOKUP(imports[[#This Row],[Country]], crude[Reporter], crude[Quantity], "Not found", 0))</f>
        <v>11504600000</v>
      </c>
      <c r="D33" s="4">
        <f>imports[[#This Row],[Crude (kg)]]/(136.4*10^6)</f>
        <v>84.34457478005865</v>
      </c>
      <c r="E33" s="3">
        <f>imports[[#This Row],[Crude (mb/y)]]/365</f>
        <v>0.23108102679468123</v>
      </c>
      <c r="F33" s="4">
        <f>VALUE(_xlfn.XLOOKUP(imports[[#This Row],[Country]], refined[Reporter], refined[Quantity], "Not found", 0))</f>
        <v>1088160000</v>
      </c>
      <c r="G33" s="4">
        <f>imports[[#This Row],[Refined (kg)]]/(137*10^6)</f>
        <v>7.9427737226277371</v>
      </c>
      <c r="H33" s="3">
        <f>imports[[#This Row],[Refined (mb/y)]]/365</f>
        <v>2.1761023897610237E-2</v>
      </c>
      <c r="I33" s="4">
        <f>imports[[#This Row],[Crude (mb/y)]]+imports[[#This Row],[Refined (mb/y)]]</f>
        <v>92.287348502686385</v>
      </c>
      <c r="J33" s="3">
        <f>imports[[#This Row],[Crude (mb/d)]]+imports[[#This Row],[Refined (mb/d)]]</f>
        <v>0.25284205069229149</v>
      </c>
    </row>
    <row r="34" spans="1:10" x14ac:dyDescent="0.2">
      <c r="A34" t="s">
        <v>93</v>
      </c>
      <c r="C34" s="4">
        <f>VALUE(_xlfn.XLOOKUP(imports[[#This Row],[Country]], crude[Reporter], crude[Quantity], "Not found", 0))</f>
        <v>8623710000</v>
      </c>
      <c r="D34" s="4">
        <f>imports[[#This Row],[Crude (kg)]]/(136.4*10^6)</f>
        <v>63.223680351906161</v>
      </c>
      <c r="E34" s="3">
        <f>imports[[#This Row],[Crude (mb/y)]]/365</f>
        <v>0.17321556260796209</v>
      </c>
      <c r="F34" s="4">
        <f>VALUE(_xlfn.XLOOKUP(imports[[#This Row],[Country]], refined[Reporter], refined[Quantity], "Not found", 0))</f>
        <v>2765910000</v>
      </c>
      <c r="G34" s="4">
        <f>imports[[#This Row],[Refined (kg)]]/(137*10^6)</f>
        <v>20.189124087591242</v>
      </c>
      <c r="H34" s="3">
        <f>imports[[#This Row],[Refined (mb/y)]]/365</f>
        <v>5.5312668733126694E-2</v>
      </c>
      <c r="I34" s="4">
        <f>imports[[#This Row],[Crude (mb/y)]]+imports[[#This Row],[Refined (mb/y)]]</f>
        <v>83.412804439497407</v>
      </c>
      <c r="J34" s="3">
        <f>imports[[#This Row],[Crude (mb/d)]]+imports[[#This Row],[Refined (mb/d)]]</f>
        <v>0.22852823134108879</v>
      </c>
    </row>
    <row r="35" spans="1:10" hidden="1" x14ac:dyDescent="0.2">
      <c r="A35" t="s">
        <v>145</v>
      </c>
      <c r="C35" s="1" t="e">
        <f>VALUE(_xlfn.XLOOKUP(imports[[#This Row],[Country]], crude[Reporter], crude[Quantity], "Not found", 0))</f>
        <v>#VALUE!</v>
      </c>
      <c r="D35" s="1" t="e">
        <f>imports[[#This Row],[Crude (kg)]]/(136.4*10^6)</f>
        <v>#VALUE!</v>
      </c>
      <c r="E35" s="1" t="e">
        <f>imports[[#This Row],[Crude (mb/y)]]/365</f>
        <v>#VALUE!</v>
      </c>
      <c r="F35" s="1">
        <f>VALUE(_xlfn.XLOOKUP(imports[[#This Row],[Country]], refined[Reporter], refined[Quantity], "Not found", 0))</f>
        <v>5745870000</v>
      </c>
      <c r="G35" s="1">
        <f>imports[[#This Row],[Refined (kg)]]/(137*10^6)</f>
        <v>41.940656934306567</v>
      </c>
      <c r="H35" s="1">
        <f>imports[[#This Row],[Refined (mb/y)]]/365</f>
        <v>0.11490590940905909</v>
      </c>
      <c r="I35" s="1" t="e">
        <f>imports[[#This Row],[Crude (mb/y)]]+imports[[#This Row],[Refined (mb/y)]]</f>
        <v>#VALUE!</v>
      </c>
      <c r="J35" s="1" t="e">
        <f>imports[[#This Row],[Crude (mb/d)]]+imports[[#This Row],[Refined (mb/d)]]</f>
        <v>#VALUE!</v>
      </c>
    </row>
    <row r="36" spans="1:10" x14ac:dyDescent="0.2">
      <c r="A36" t="s">
        <v>156</v>
      </c>
      <c r="C36" s="4">
        <f>VALUE(_xlfn.XLOOKUP(imports[[#This Row],[Country]], crude[Reporter], crude[Quantity], "Not found", 0))</f>
        <v>1313690000</v>
      </c>
      <c r="D36" s="4">
        <f>imports[[#This Row],[Crude (kg)]]/(136.4*10^6)</f>
        <v>9.6311583577712607</v>
      </c>
      <c r="E36" s="3">
        <f>imports[[#This Row],[Crude (mb/y)]]/365</f>
        <v>2.6386735226770576E-2</v>
      </c>
      <c r="F36" s="4">
        <f>VALUE(_xlfn.XLOOKUP(imports[[#This Row],[Country]], refined[Reporter], refined[Quantity], "Not found", 0))</f>
        <v>8734650000</v>
      </c>
      <c r="G36" s="4">
        <f>imports[[#This Row],[Refined (kg)]]/(137*10^6)</f>
        <v>63.756569343065692</v>
      </c>
      <c r="H36" s="3">
        <f>imports[[#This Row],[Refined (mb/y)]]/365</f>
        <v>0.17467553244675532</v>
      </c>
      <c r="I36" s="4">
        <f>imports[[#This Row],[Crude (mb/y)]]+imports[[#This Row],[Refined (mb/y)]]</f>
        <v>73.387727700836948</v>
      </c>
      <c r="J36" s="3">
        <f>imports[[#This Row],[Crude (mb/d)]]+imports[[#This Row],[Refined (mb/d)]]</f>
        <v>0.20106226767352589</v>
      </c>
    </row>
    <row r="37" spans="1:10" x14ac:dyDescent="0.2">
      <c r="A37" t="s">
        <v>87</v>
      </c>
      <c r="C37" s="4">
        <f>VALUE(_xlfn.XLOOKUP(imports[[#This Row],[Country]], crude[Reporter], crude[Quantity], "Not found", 0))</f>
        <v>8804710000</v>
      </c>
      <c r="D37" s="4">
        <f>imports[[#This Row],[Crude (kg)]]/(136.4*10^6)</f>
        <v>64.550659824046917</v>
      </c>
      <c r="E37" s="3">
        <f>imports[[#This Row],[Crude (mb/y)]]/365</f>
        <v>0.176851122805608</v>
      </c>
      <c r="F37" s="4">
        <f>VALUE(_xlfn.XLOOKUP(imports[[#This Row],[Country]], refined[Reporter], refined[Quantity], "Not found", 0))</f>
        <v>525117000</v>
      </c>
      <c r="G37" s="4">
        <f>imports[[#This Row],[Refined (kg)]]/(137*10^6)</f>
        <v>3.832970802919708</v>
      </c>
      <c r="H37" s="3">
        <f>imports[[#This Row],[Refined (mb/y)]]/365</f>
        <v>1.0501289871012899E-2</v>
      </c>
      <c r="I37" s="4">
        <f>imports[[#This Row],[Crude (mb/y)]]+imports[[#This Row],[Refined (mb/y)]]</f>
        <v>68.383630626966621</v>
      </c>
      <c r="J37" s="3">
        <f>imports[[#This Row],[Crude (mb/d)]]+imports[[#This Row],[Refined (mb/d)]]</f>
        <v>0.18735241267662089</v>
      </c>
    </row>
    <row r="38" spans="1:10" hidden="1" x14ac:dyDescent="0.2">
      <c r="A38" t="s">
        <v>402</v>
      </c>
      <c r="C38" s="1" t="e">
        <f>VALUE(_xlfn.XLOOKUP(imports[[#This Row],[Country]], crude[Reporter], crude[Quantity], "Not found", 0))</f>
        <v>#VALUE!</v>
      </c>
      <c r="D38" s="1" t="e">
        <f>imports[[#This Row],[Crude (kg)]]/(136.4*10^6)</f>
        <v>#VALUE!</v>
      </c>
      <c r="E38" s="1" t="e">
        <f>imports[[#This Row],[Crude (mb/y)]]/365</f>
        <v>#VALUE!</v>
      </c>
      <c r="F38" s="1">
        <f>VALUE(_xlfn.XLOOKUP(imports[[#This Row],[Country]], refined[Reporter], refined[Quantity], "Not found", 0))</f>
        <v>6540830000</v>
      </c>
      <c r="G38" s="1">
        <f>imports[[#This Row],[Refined (kg)]]/(137*10^6)</f>
        <v>47.743284671532848</v>
      </c>
      <c r="H38" s="1">
        <f>imports[[#This Row],[Refined (mb/y)]]/365</f>
        <v>0.13080351964803519</v>
      </c>
      <c r="I38" s="1" t="e">
        <f>imports[[#This Row],[Crude (mb/y)]]+imports[[#This Row],[Refined (mb/y)]]</f>
        <v>#VALUE!</v>
      </c>
      <c r="J38" s="1" t="e">
        <f>imports[[#This Row],[Crude (mb/d)]]+imports[[#This Row],[Refined (mb/d)]]</f>
        <v>#VALUE!</v>
      </c>
    </row>
    <row r="39" spans="1:10" hidden="1" x14ac:dyDescent="0.2">
      <c r="A39" t="s">
        <v>405</v>
      </c>
      <c r="C39" s="1" t="e">
        <f>VALUE(_xlfn.XLOOKUP(imports[[#This Row],[Country]], crude[Reporter], crude[Quantity], "Not found", 0))</f>
        <v>#VALUE!</v>
      </c>
      <c r="D39" s="1" t="e">
        <f>imports[[#This Row],[Crude (kg)]]/(136.4*10^6)</f>
        <v>#VALUE!</v>
      </c>
      <c r="E39" s="1" t="e">
        <f>imports[[#This Row],[Crude (mb/y)]]/365</f>
        <v>#VALUE!</v>
      </c>
      <c r="F39" s="1">
        <f>VALUE(_xlfn.XLOOKUP(imports[[#This Row],[Country]], refined[Reporter], refined[Quantity], "Not found", 0))</f>
        <v>3020750000</v>
      </c>
      <c r="G39" s="1">
        <f>imports[[#This Row],[Refined (kg)]]/(137*10^6)</f>
        <v>22.049270072992702</v>
      </c>
      <c r="H39" s="1">
        <f>imports[[#This Row],[Refined (mb/y)]]/365</f>
        <v>6.0408959104089596E-2</v>
      </c>
      <c r="I39" s="1" t="e">
        <f>imports[[#This Row],[Crude (mb/y)]]+imports[[#This Row],[Refined (mb/y)]]</f>
        <v>#VALUE!</v>
      </c>
      <c r="J39" s="1" t="e">
        <f>imports[[#This Row],[Crude (mb/d)]]+imports[[#This Row],[Refined (mb/d)]]</f>
        <v>#VALUE!</v>
      </c>
    </row>
    <row r="40" spans="1:10" x14ac:dyDescent="0.2">
      <c r="A40" t="s">
        <v>142</v>
      </c>
      <c r="C40" s="4">
        <f>VALUE(_xlfn.XLOOKUP(imports[[#This Row],[Country]], crude[Reporter], crude[Quantity], "Not found", 0))</f>
        <v>2586720000</v>
      </c>
      <c r="D40" s="4">
        <f>imports[[#This Row],[Crude (kg)]]/(136.4*10^6)</f>
        <v>18.964222873900294</v>
      </c>
      <c r="E40" s="3">
        <f>imports[[#This Row],[Crude (mb/y)]]/365</f>
        <v>5.1956774996987108E-2</v>
      </c>
      <c r="F40" s="4">
        <f>VALUE(_xlfn.XLOOKUP(imports[[#This Row],[Country]], refined[Reporter], refined[Quantity], "Not found", 0))</f>
        <v>6386130000</v>
      </c>
      <c r="G40" s="4">
        <f>imports[[#This Row],[Refined (kg)]]/(137*10^6)</f>
        <v>46.614087591240875</v>
      </c>
      <c r="H40" s="3">
        <f>imports[[#This Row],[Refined (mb/y)]]/365</f>
        <v>0.12770982901709829</v>
      </c>
      <c r="I40" s="4">
        <f>imports[[#This Row],[Crude (mb/y)]]+imports[[#This Row],[Refined (mb/y)]]</f>
        <v>65.578310465141172</v>
      </c>
      <c r="J40" s="3">
        <f>imports[[#This Row],[Crude (mb/d)]]+imports[[#This Row],[Refined (mb/d)]]</f>
        <v>0.17966660401408541</v>
      </c>
    </row>
    <row r="41" spans="1:10" x14ac:dyDescent="0.2">
      <c r="A41" t="s">
        <v>211</v>
      </c>
      <c r="C41" s="4">
        <f>VALUE(_xlfn.XLOOKUP(imports[[#This Row],[Country]], crude[Reporter], crude[Quantity], "Not found", 0))</f>
        <v>24000</v>
      </c>
      <c r="D41" s="4">
        <f>imports[[#This Row],[Crude (kg)]]/(136.4*10^6)</f>
        <v>1.7595307917888563E-4</v>
      </c>
      <c r="E41" s="3">
        <f>imports[[#This Row],[Crude (mb/y)]]/365</f>
        <v>4.8206323062708394E-7</v>
      </c>
      <c r="F41" s="4">
        <f>VALUE(_xlfn.XLOOKUP(imports[[#This Row],[Country]], refined[Reporter], refined[Quantity], "Not found", 0))</f>
        <v>8752710000</v>
      </c>
      <c r="G41" s="4">
        <f>imports[[#This Row],[Refined (kg)]]/(137*10^6)</f>
        <v>63.888394160583942</v>
      </c>
      <c r="H41" s="3">
        <f>imports[[#This Row],[Refined (mb/y)]]/365</f>
        <v>0.17503669633036698</v>
      </c>
      <c r="I41" s="4">
        <f>imports[[#This Row],[Crude (mb/y)]]+imports[[#This Row],[Refined (mb/y)]]</f>
        <v>63.888570113663121</v>
      </c>
      <c r="J41" s="3">
        <f>imports[[#This Row],[Crude (mb/d)]]+imports[[#This Row],[Refined (mb/d)]]</f>
        <v>0.17503717839359761</v>
      </c>
    </row>
    <row r="42" spans="1:10" x14ac:dyDescent="0.2">
      <c r="A42" t="s">
        <v>125</v>
      </c>
      <c r="C42" s="4">
        <f>VALUE(_xlfn.XLOOKUP(imports[[#This Row],[Country]], crude[Reporter], crude[Quantity], "Not found", 0))</f>
        <v>4436890000</v>
      </c>
      <c r="D42" s="4">
        <f>imports[[#This Row],[Crude (kg)]]/(136.4*10^6)</f>
        <v>32.52851906158358</v>
      </c>
      <c r="E42" s="3">
        <f>imports[[#This Row],[Crude (mb/y)]]/365</f>
        <v>8.9119230305708438E-2</v>
      </c>
      <c r="F42" s="4">
        <f>VALUE(_xlfn.XLOOKUP(imports[[#This Row],[Country]], refined[Reporter], refined[Quantity], "Not found", 0))</f>
        <v>3871610000</v>
      </c>
      <c r="G42" s="4">
        <f>imports[[#This Row],[Refined (kg)]]/(137*10^6)</f>
        <v>28.259927007299272</v>
      </c>
      <c r="H42" s="3">
        <f>imports[[#This Row],[Refined (mb/y)]]/365</f>
        <v>7.7424457554244583E-2</v>
      </c>
      <c r="I42" s="4">
        <f>imports[[#This Row],[Crude (mb/y)]]+imports[[#This Row],[Refined (mb/y)]]</f>
        <v>60.788446068882848</v>
      </c>
      <c r="J42" s="3">
        <f>imports[[#This Row],[Crude (mb/d)]]+imports[[#This Row],[Refined (mb/d)]]</f>
        <v>0.16654368785995302</v>
      </c>
    </row>
    <row r="43" spans="1:10" x14ac:dyDescent="0.2">
      <c r="A43" t="s">
        <v>122</v>
      </c>
      <c r="C43" s="4">
        <f>VALUE(_xlfn.XLOOKUP(imports[[#This Row],[Country]], crude[Reporter], crude[Quantity], "Not found", 0))</f>
        <v>5582350000</v>
      </c>
      <c r="D43" s="4">
        <f>imports[[#This Row],[Crude (kg)]]/(136.4*10^6)</f>
        <v>40.926319648093845</v>
      </c>
      <c r="E43" s="3">
        <f>imports[[#This Row],[Crude (mb/y)]]/365</f>
        <v>0.11212690314546259</v>
      </c>
      <c r="F43" s="4">
        <f>VALUE(_xlfn.XLOOKUP(imports[[#This Row],[Country]], refined[Reporter], refined[Quantity], "Not found", 0))</f>
        <v>2349970000</v>
      </c>
      <c r="G43" s="4">
        <f>imports[[#This Row],[Refined (kg)]]/(137*10^6)</f>
        <v>17.153065693430658</v>
      </c>
      <c r="H43" s="3">
        <f>imports[[#This Row],[Refined (mb/y)]]/365</f>
        <v>4.699470052994701E-2</v>
      </c>
      <c r="I43" s="4">
        <f>imports[[#This Row],[Crude (mb/y)]]+imports[[#This Row],[Refined (mb/y)]]</f>
        <v>58.0793853415245</v>
      </c>
      <c r="J43" s="3">
        <f>imports[[#This Row],[Crude (mb/d)]]+imports[[#This Row],[Refined (mb/d)]]</f>
        <v>0.15912160367540959</v>
      </c>
    </row>
    <row r="44" spans="1:10" x14ac:dyDescent="0.2">
      <c r="A44" t="s">
        <v>112</v>
      </c>
      <c r="C44" s="4">
        <f>VALUE(_xlfn.XLOOKUP(imports[[#This Row],[Country]], crude[Reporter], crude[Quantity], "Not found", 0))</f>
        <v>6630030000</v>
      </c>
      <c r="D44" s="4">
        <f>imports[[#This Row],[Crude (kg)]]/(136.4*10^6)</f>
        <v>48.607258064516131</v>
      </c>
      <c r="E44" s="3">
        <f>imports[[#This Row],[Crude (mb/y)]]/365</f>
        <v>0.13317057003977023</v>
      </c>
      <c r="F44" s="4">
        <f>VALUE(_xlfn.XLOOKUP(imports[[#This Row],[Country]], refined[Reporter], refined[Quantity], "Not found", 0))</f>
        <v>1080580000</v>
      </c>
      <c r="G44" s="4">
        <f>imports[[#This Row],[Refined (kg)]]/(137*10^6)</f>
        <v>7.8874452554744527</v>
      </c>
      <c r="H44" s="3">
        <f>imports[[#This Row],[Refined (mb/y)]]/365</f>
        <v>2.1609439056094391E-2</v>
      </c>
      <c r="I44" s="4">
        <f>imports[[#This Row],[Crude (mb/y)]]+imports[[#This Row],[Refined (mb/y)]]</f>
        <v>56.494703319990585</v>
      </c>
      <c r="J44" s="3">
        <f>imports[[#This Row],[Crude (mb/d)]]+imports[[#This Row],[Refined (mb/d)]]</f>
        <v>0.15478000909586462</v>
      </c>
    </row>
    <row r="45" spans="1:10" hidden="1" x14ac:dyDescent="0.2">
      <c r="A45" t="s">
        <v>63</v>
      </c>
      <c r="C45" s="1" t="e">
        <f>VALUE(_xlfn.XLOOKUP(imports[[#This Row],[Country]], crude[Reporter], crude[Quantity], "Not found", 0))</f>
        <v>#VALUE!</v>
      </c>
      <c r="D45" s="1" t="e">
        <f>imports[[#This Row],[Crude (kg)]]/(136.4*10^6)</f>
        <v>#VALUE!</v>
      </c>
      <c r="E45" s="1" t="e">
        <f>imports[[#This Row],[Crude (mb/y)]]/365</f>
        <v>#VALUE!</v>
      </c>
      <c r="F45" s="1">
        <f>VALUE(_xlfn.XLOOKUP(imports[[#This Row],[Country]], refined[Reporter], refined[Quantity], "Not found", 0))</f>
        <v>5807370000</v>
      </c>
      <c r="G45" s="1">
        <f>imports[[#This Row],[Refined (kg)]]/(137*10^6)</f>
        <v>42.389562043795621</v>
      </c>
      <c r="H45" s="1">
        <f>imports[[#This Row],[Refined (mb/y)]]/365</f>
        <v>0.11613578642135787</v>
      </c>
      <c r="I45" s="1" t="e">
        <f>imports[[#This Row],[Crude (mb/y)]]+imports[[#This Row],[Refined (mb/y)]]</f>
        <v>#VALUE!</v>
      </c>
      <c r="J45" s="1" t="e">
        <f>imports[[#This Row],[Crude (mb/d)]]+imports[[#This Row],[Refined (mb/d)]]</f>
        <v>#VALUE!</v>
      </c>
    </row>
    <row r="46" spans="1:10" x14ac:dyDescent="0.2">
      <c r="A46" t="s">
        <v>231</v>
      </c>
      <c r="C46" s="4">
        <f>VALUE(_xlfn.XLOOKUP(imports[[#This Row],[Country]], crude[Reporter], crude[Quantity], "Not found", 0))</f>
        <v>24371</v>
      </c>
      <c r="D46" s="4">
        <f>imports[[#This Row],[Crude (kg)]]/(136.4*10^6)</f>
        <v>1.7867302052785924E-4</v>
      </c>
      <c r="E46" s="3">
        <f>imports[[#This Row],[Crude (mb/y)]]/365</f>
        <v>4.8951512473386093E-7</v>
      </c>
      <c r="F46" s="4">
        <f>VALUE(_xlfn.XLOOKUP(imports[[#This Row],[Country]], refined[Reporter], refined[Quantity], "Not found", 0))</f>
        <v>7563430000</v>
      </c>
      <c r="G46" s="4">
        <f>imports[[#This Row],[Refined (kg)]]/(137*10^6)</f>
        <v>55.207518248175184</v>
      </c>
      <c r="H46" s="3">
        <f>imports[[#This Row],[Refined (mb/y)]]/365</f>
        <v>0.15125347465253475</v>
      </c>
      <c r="I46" s="4">
        <f>imports[[#This Row],[Crude (mb/y)]]+imports[[#This Row],[Refined (mb/y)]]</f>
        <v>55.207696921195712</v>
      </c>
      <c r="J46" s="3">
        <f>imports[[#This Row],[Crude (mb/d)]]+imports[[#This Row],[Refined (mb/d)]]</f>
        <v>0.15125396416765949</v>
      </c>
    </row>
    <row r="47" spans="1:10" x14ac:dyDescent="0.2">
      <c r="A47" t="s">
        <v>107</v>
      </c>
      <c r="C47" s="4">
        <f>VALUE(_xlfn.XLOOKUP(imports[[#This Row],[Country]], crude[Reporter], crude[Quantity], "Not found", 0))</f>
        <v>6485170000</v>
      </c>
      <c r="D47" s="4">
        <f>imports[[#This Row],[Crude (kg)]]/(136.4*10^6)</f>
        <v>47.545234604105573</v>
      </c>
      <c r="E47" s="3">
        <f>imports[[#This Row],[Crude (mb/y)]]/365</f>
        <v>0.13026091672357692</v>
      </c>
      <c r="F47" s="4">
        <f>VALUE(_xlfn.XLOOKUP(imports[[#This Row],[Country]], refined[Reporter], refined[Quantity], "Not found", 0))</f>
        <v>853290000</v>
      </c>
      <c r="G47" s="4">
        <f>imports[[#This Row],[Refined (kg)]]/(137*10^6)</f>
        <v>6.2283941605839415</v>
      </c>
      <c r="H47" s="3">
        <f>imports[[#This Row],[Refined (mb/y)]]/365</f>
        <v>1.7064093590640934E-2</v>
      </c>
      <c r="I47" s="4">
        <f>imports[[#This Row],[Crude (mb/y)]]+imports[[#This Row],[Refined (mb/y)]]</f>
        <v>53.773628764689512</v>
      </c>
      <c r="J47" s="3">
        <f>imports[[#This Row],[Crude (mb/d)]]+imports[[#This Row],[Refined (mb/d)]]</f>
        <v>0.14732501031421785</v>
      </c>
    </row>
    <row r="48" spans="1:10" hidden="1" x14ac:dyDescent="0.2">
      <c r="A48" t="s">
        <v>102</v>
      </c>
      <c r="C48" s="1" t="e">
        <f>VALUE(_xlfn.XLOOKUP(imports[[#This Row],[Country]], crude[Reporter], crude[Quantity], "Not found", 0))</f>
        <v>#VALUE!</v>
      </c>
      <c r="D48" s="1" t="e">
        <f>imports[[#This Row],[Crude (kg)]]/(136.4*10^6)</f>
        <v>#VALUE!</v>
      </c>
      <c r="E48" s="1" t="e">
        <f>imports[[#This Row],[Crude (mb/y)]]/365</f>
        <v>#VALUE!</v>
      </c>
      <c r="F48" s="1">
        <f>VALUE(_xlfn.XLOOKUP(imports[[#This Row],[Country]], refined[Reporter], refined[Quantity], "Not found", 0))</f>
        <v>3179970000</v>
      </c>
      <c r="G48" s="1">
        <f>imports[[#This Row],[Refined (kg)]]/(137*10^6)</f>
        <v>23.211459854014599</v>
      </c>
      <c r="H48" s="1">
        <f>imports[[#This Row],[Refined (mb/y)]]/365</f>
        <v>6.3593040695930414E-2</v>
      </c>
      <c r="I48" s="1" t="e">
        <f>imports[[#This Row],[Crude (mb/y)]]+imports[[#This Row],[Refined (mb/y)]]</f>
        <v>#VALUE!</v>
      </c>
      <c r="J48" s="1" t="e">
        <f>imports[[#This Row],[Crude (mb/d)]]+imports[[#This Row],[Refined (mb/d)]]</f>
        <v>#VALUE!</v>
      </c>
    </row>
    <row r="49" spans="1:10" hidden="1" x14ac:dyDescent="0.2">
      <c r="A49" t="s">
        <v>137</v>
      </c>
      <c r="C49" s="1" t="e">
        <f>VALUE(_xlfn.XLOOKUP(imports[[#This Row],[Country]], crude[Reporter], crude[Quantity], "Not found", 0))</f>
        <v>#VALUE!</v>
      </c>
      <c r="D49" s="1" t="e">
        <f>imports[[#This Row],[Crude (kg)]]/(136.4*10^6)</f>
        <v>#VALUE!</v>
      </c>
      <c r="E49" s="1" t="e">
        <f>imports[[#This Row],[Crude (mb/y)]]/365</f>
        <v>#VALUE!</v>
      </c>
      <c r="F49" s="1">
        <f>VALUE(_xlfn.XLOOKUP(imports[[#This Row],[Country]], refined[Reporter], refined[Quantity], "Not found", 0))</f>
        <v>3534220000</v>
      </c>
      <c r="G49" s="1">
        <f>imports[[#This Row],[Refined (kg)]]/(137*10^6)</f>
        <v>25.797226277372264</v>
      </c>
      <c r="H49" s="1">
        <f>imports[[#This Row],[Refined (mb/y)]]/365</f>
        <v>7.0677332266773321E-2</v>
      </c>
      <c r="I49" s="1" t="e">
        <f>imports[[#This Row],[Crude (mb/y)]]+imports[[#This Row],[Refined (mb/y)]]</f>
        <v>#VALUE!</v>
      </c>
      <c r="J49" s="1" t="e">
        <f>imports[[#This Row],[Crude (mb/d)]]+imports[[#This Row],[Refined (mb/d)]]</f>
        <v>#VALUE!</v>
      </c>
    </row>
    <row r="50" spans="1:10" hidden="1" x14ac:dyDescent="0.2">
      <c r="A50" t="s">
        <v>237</v>
      </c>
      <c r="C50" s="1" t="e">
        <f>VALUE(_xlfn.XLOOKUP(imports[[#This Row],[Country]], crude[Reporter], crude[Quantity], "Not found", 0))</f>
        <v>#VALUE!</v>
      </c>
      <c r="D50" s="1" t="e">
        <f>imports[[#This Row],[Crude (kg)]]/(136.4*10^6)</f>
        <v>#VALUE!</v>
      </c>
      <c r="E50" s="1" t="e">
        <f>imports[[#This Row],[Crude (mb/y)]]/365</f>
        <v>#VALUE!</v>
      </c>
      <c r="F50" s="1">
        <f>VALUE(_xlfn.XLOOKUP(imports[[#This Row],[Country]], refined[Reporter], refined[Quantity], "Not found", 0))</f>
        <v>4162540000</v>
      </c>
      <c r="G50" s="1">
        <f>imports[[#This Row],[Refined (kg)]]/(137*10^6)</f>
        <v>30.383503649635035</v>
      </c>
      <c r="H50" s="1">
        <f>imports[[#This Row],[Refined (mb/y)]]/365</f>
        <v>8.3242475752424758E-2</v>
      </c>
      <c r="I50" s="1" t="e">
        <f>imports[[#This Row],[Crude (mb/y)]]+imports[[#This Row],[Refined (mb/y)]]</f>
        <v>#VALUE!</v>
      </c>
      <c r="J50" s="1" t="e">
        <f>imports[[#This Row],[Crude (mb/d)]]+imports[[#This Row],[Refined (mb/d)]]</f>
        <v>#VALUE!</v>
      </c>
    </row>
    <row r="51" spans="1:10" x14ac:dyDescent="0.2">
      <c r="A51" t="s">
        <v>168</v>
      </c>
      <c r="C51" s="4">
        <f>VALUE(_xlfn.XLOOKUP(imports[[#This Row],[Country]], crude[Reporter], crude[Quantity], "Not found", 0))</f>
        <v>1138180000</v>
      </c>
      <c r="D51" s="4">
        <f>imports[[#This Row],[Crude (kg)]]/(136.4*10^6)</f>
        <v>8.344428152492668</v>
      </c>
      <c r="E51" s="3">
        <f>imports[[#This Row],[Crude (mb/y)]]/365</f>
        <v>2.2861446993130596E-2</v>
      </c>
      <c r="F51" s="4">
        <f>VALUE(_xlfn.XLOOKUP(imports[[#This Row],[Country]], refined[Reporter], refined[Quantity], "Not found", 0))</f>
        <v>5618260000</v>
      </c>
      <c r="G51" s="4">
        <f>imports[[#This Row],[Refined (kg)]]/(137*10^6)</f>
        <v>41.009197080291969</v>
      </c>
      <c r="H51" s="3">
        <f>imports[[#This Row],[Refined (mb/y)]]/365</f>
        <v>0.11235396460353964</v>
      </c>
      <c r="I51" s="4">
        <f>imports[[#This Row],[Crude (mb/y)]]+imports[[#This Row],[Refined (mb/y)]]</f>
        <v>49.353625232784637</v>
      </c>
      <c r="J51" s="3">
        <f>imports[[#This Row],[Crude (mb/d)]]+imports[[#This Row],[Refined (mb/d)]]</f>
        <v>0.13521541159667022</v>
      </c>
    </row>
    <row r="52" spans="1:10" x14ac:dyDescent="0.2">
      <c r="A52" t="s">
        <v>180</v>
      </c>
      <c r="C52" s="4">
        <f>VALUE(_xlfn.XLOOKUP(imports[[#This Row],[Country]], crude[Reporter], crude[Quantity], "Not found", 0))</f>
        <v>736290000</v>
      </c>
      <c r="D52" s="4">
        <f>imports[[#This Row],[Crude (kg)]]/(136.4*10^6)</f>
        <v>5.3980205278592379</v>
      </c>
      <c r="E52" s="3">
        <f>imports[[#This Row],[Crude (mb/y)]]/365</f>
        <v>1.4789097336600651E-2</v>
      </c>
      <c r="F52" s="4">
        <f>VALUE(_xlfn.XLOOKUP(imports[[#This Row],[Country]], refined[Reporter], refined[Quantity], "Not found", 0))</f>
        <v>5760710000</v>
      </c>
      <c r="G52" s="4">
        <f>imports[[#This Row],[Refined (kg)]]/(137*10^6)</f>
        <v>42.048978102189778</v>
      </c>
      <c r="H52" s="3">
        <f>imports[[#This Row],[Refined (mb/y)]]/365</f>
        <v>0.11520267973202679</v>
      </c>
      <c r="I52" s="4">
        <f>imports[[#This Row],[Crude (mb/y)]]+imports[[#This Row],[Refined (mb/y)]]</f>
        <v>47.446998630049016</v>
      </c>
      <c r="J52" s="3">
        <f>imports[[#This Row],[Crude (mb/d)]]+imports[[#This Row],[Refined (mb/d)]]</f>
        <v>0.12999177706862744</v>
      </c>
    </row>
    <row r="53" spans="1:10" hidden="1" x14ac:dyDescent="0.2">
      <c r="A53" t="s">
        <v>438</v>
      </c>
      <c r="C53" s="1" t="e">
        <f>VALUE(_xlfn.XLOOKUP(imports[[#This Row],[Country]], crude[Reporter], crude[Quantity], "Not found", 0))</f>
        <v>#VALUE!</v>
      </c>
      <c r="D53" s="1" t="e">
        <f>imports[[#This Row],[Crude (kg)]]/(136.4*10^6)</f>
        <v>#VALUE!</v>
      </c>
      <c r="E53" s="1" t="e">
        <f>imports[[#This Row],[Crude (mb/y)]]/365</f>
        <v>#VALUE!</v>
      </c>
      <c r="F53" s="1">
        <f>VALUE(_xlfn.XLOOKUP(imports[[#This Row],[Country]], refined[Reporter], refined[Quantity], "Not found", 0))</f>
        <v>2718890000</v>
      </c>
      <c r="G53" s="1">
        <f>imports[[#This Row],[Refined (kg)]]/(137*10^6)</f>
        <v>19.845912408759123</v>
      </c>
      <c r="H53" s="1">
        <f>imports[[#This Row],[Refined (mb/y)]]/365</f>
        <v>5.4372362763723626E-2</v>
      </c>
      <c r="I53" s="1" t="e">
        <f>imports[[#This Row],[Crude (mb/y)]]+imports[[#This Row],[Refined (mb/y)]]</f>
        <v>#VALUE!</v>
      </c>
      <c r="J53" s="1" t="e">
        <f>imports[[#This Row],[Crude (mb/d)]]+imports[[#This Row],[Refined (mb/d)]]</f>
        <v>#VALUE!</v>
      </c>
    </row>
    <row r="54" spans="1:10" hidden="1" x14ac:dyDescent="0.2">
      <c r="A54" t="s">
        <v>441</v>
      </c>
      <c r="C54" s="1" t="e">
        <f>VALUE(_xlfn.XLOOKUP(imports[[#This Row],[Country]], crude[Reporter], crude[Quantity], "Not found", 0))</f>
        <v>#VALUE!</v>
      </c>
      <c r="D54" s="1" t="e">
        <f>imports[[#This Row],[Crude (kg)]]/(136.4*10^6)</f>
        <v>#VALUE!</v>
      </c>
      <c r="E54" s="1" t="e">
        <f>imports[[#This Row],[Crude (mb/y)]]/365</f>
        <v>#VALUE!</v>
      </c>
      <c r="F54" s="1">
        <f>VALUE(_xlfn.XLOOKUP(imports[[#This Row],[Country]], refined[Reporter], refined[Quantity], "Not found", 0))</f>
        <v>3227270000</v>
      </c>
      <c r="G54" s="1">
        <f>imports[[#This Row],[Refined (kg)]]/(137*10^6)</f>
        <v>23.556715328467153</v>
      </c>
      <c r="H54" s="1">
        <f>imports[[#This Row],[Refined (mb/y)]]/365</f>
        <v>6.4538946105389461E-2</v>
      </c>
      <c r="I54" s="1" t="e">
        <f>imports[[#This Row],[Crude (mb/y)]]+imports[[#This Row],[Refined (mb/y)]]</f>
        <v>#VALUE!</v>
      </c>
      <c r="J54" s="1" t="e">
        <f>imports[[#This Row],[Crude (mb/d)]]+imports[[#This Row],[Refined (mb/d)]]</f>
        <v>#VALUE!</v>
      </c>
    </row>
    <row r="55" spans="1:10" x14ac:dyDescent="0.2">
      <c r="A55" t="s">
        <v>128</v>
      </c>
      <c r="C55" s="4">
        <f>VALUE(_xlfn.XLOOKUP(imports[[#This Row],[Country]], crude[Reporter], crude[Quantity], "Not found", 0))</f>
        <v>4825700000</v>
      </c>
      <c r="D55" s="4">
        <f>imports[[#This Row],[Crude (kg)]]/(136.4*10^6)</f>
        <v>35.37903225806452</v>
      </c>
      <c r="E55" s="3">
        <f>imports[[#This Row],[Crude (mb/y)]]/365</f>
        <v>9.6928855501546632E-2</v>
      </c>
      <c r="F55" s="4">
        <f>VALUE(_xlfn.XLOOKUP(imports[[#This Row],[Country]], refined[Reporter], refined[Quantity], "Not found", 0))</f>
        <v>1400230000</v>
      </c>
      <c r="G55" s="4">
        <f>imports[[#This Row],[Refined (kg)]]/(137*10^6)</f>
        <v>10.22065693430657</v>
      </c>
      <c r="H55" s="3">
        <f>imports[[#This Row],[Refined (mb/y)]]/365</f>
        <v>2.8001799820017999E-2</v>
      </c>
      <c r="I55" s="4">
        <f>imports[[#This Row],[Crude (mb/y)]]+imports[[#This Row],[Refined (mb/y)]]</f>
        <v>45.599689192371088</v>
      </c>
      <c r="J55" s="3">
        <f>imports[[#This Row],[Crude (mb/d)]]+imports[[#This Row],[Refined (mb/d)]]</f>
        <v>0.12493065532156464</v>
      </c>
    </row>
    <row r="56" spans="1:10" x14ac:dyDescent="0.2">
      <c r="A56" t="s">
        <v>131</v>
      </c>
      <c r="C56" s="4">
        <f>VALUE(_xlfn.XLOOKUP(imports[[#This Row],[Country]], crude[Reporter], crude[Quantity], "Not found", 0))</f>
        <v>3710330000</v>
      </c>
      <c r="D56" s="4">
        <f>imports[[#This Row],[Crude (kg)]]/(136.4*10^6)</f>
        <v>27.201832844574781</v>
      </c>
      <c r="E56" s="3">
        <f>imports[[#This Row],[Crude (mb/y)]]/365</f>
        <v>7.4525569437191186E-2</v>
      </c>
      <c r="F56" s="4">
        <f>VALUE(_xlfn.XLOOKUP(imports[[#This Row],[Country]], refined[Reporter], refined[Quantity], "Not found", 0))</f>
        <v>2146060000</v>
      </c>
      <c r="G56" s="4">
        <f>imports[[#This Row],[Refined (kg)]]/(137*10^6)</f>
        <v>15.664671532846715</v>
      </c>
      <c r="H56" s="3">
        <f>imports[[#This Row],[Refined (mb/y)]]/365</f>
        <v>4.2916908309169083E-2</v>
      </c>
      <c r="I56" s="4">
        <f>imports[[#This Row],[Crude (mb/y)]]+imports[[#This Row],[Refined (mb/y)]]</f>
        <v>42.866504377421492</v>
      </c>
      <c r="J56" s="3">
        <f>imports[[#This Row],[Crude (mb/d)]]+imports[[#This Row],[Refined (mb/d)]]</f>
        <v>0.11744247774636027</v>
      </c>
    </row>
    <row r="57" spans="1:10" x14ac:dyDescent="0.2">
      <c r="A57" t="s">
        <v>165</v>
      </c>
      <c r="C57" s="4">
        <f>VALUE(_xlfn.XLOOKUP(imports[[#This Row],[Country]], crude[Reporter], crude[Quantity], "Not found", 0))</f>
        <v>1519430000</v>
      </c>
      <c r="D57" s="4">
        <f>imports[[#This Row],[Crude (kg)]]/(136.4*10^6)</f>
        <v>11.139516129032257</v>
      </c>
      <c r="E57" s="3">
        <f>imports[[#This Row],[Crude (mb/y)]]/365</f>
        <v>3.0519222271321252E-2</v>
      </c>
      <c r="F57" s="4">
        <f>VALUE(_xlfn.XLOOKUP(imports[[#This Row],[Country]], refined[Reporter], refined[Quantity], "Not found", 0))</f>
        <v>3676260000</v>
      </c>
      <c r="G57" s="4">
        <f>imports[[#This Row],[Refined (kg)]]/(137*10^6)</f>
        <v>26.834014598540147</v>
      </c>
      <c r="H57" s="3">
        <f>imports[[#This Row],[Refined (mb/y)]]/365</f>
        <v>7.3517848215178483E-2</v>
      </c>
      <c r="I57" s="4">
        <f>imports[[#This Row],[Crude (mb/y)]]+imports[[#This Row],[Refined (mb/y)]]</f>
        <v>37.973530727572403</v>
      </c>
      <c r="J57" s="3">
        <f>imports[[#This Row],[Crude (mb/d)]]+imports[[#This Row],[Refined (mb/d)]]</f>
        <v>0.10403707048649974</v>
      </c>
    </row>
    <row r="58" spans="1:10" x14ac:dyDescent="0.2">
      <c r="A58" t="s">
        <v>197</v>
      </c>
      <c r="C58" s="4">
        <f>VALUE(_xlfn.XLOOKUP(imports[[#This Row],[Country]], crude[Reporter], crude[Quantity], "Not found", 0))</f>
        <v>95093</v>
      </c>
      <c r="D58" s="4">
        <f>imports[[#This Row],[Crude (kg)]]/(136.4*10^6)</f>
        <v>6.9716275659824042E-4</v>
      </c>
      <c r="E58" s="3">
        <f>imports[[#This Row],[Crude (mb/y)]]/365</f>
        <v>1.9100349495842202E-6</v>
      </c>
      <c r="F58" s="4">
        <f>VALUE(_xlfn.XLOOKUP(imports[[#This Row],[Country]], refined[Reporter], refined[Quantity], "Not found", 0))</f>
        <v>4997750000</v>
      </c>
      <c r="G58" s="4">
        <f>imports[[#This Row],[Refined (kg)]]/(137*10^6)</f>
        <v>36.479927007299267</v>
      </c>
      <c r="H58" s="3">
        <f>imports[[#This Row],[Refined (mb/y)]]/365</f>
        <v>9.994500549945004E-2</v>
      </c>
      <c r="I58" s="4">
        <f>imports[[#This Row],[Crude (mb/y)]]+imports[[#This Row],[Refined (mb/y)]]</f>
        <v>36.480624170055869</v>
      </c>
      <c r="J58" s="3">
        <f>imports[[#This Row],[Crude (mb/d)]]+imports[[#This Row],[Refined (mb/d)]]</f>
        <v>9.9946915534399619E-2</v>
      </c>
    </row>
    <row r="59" spans="1:10" hidden="1" x14ac:dyDescent="0.2">
      <c r="A59" t="s">
        <v>220</v>
      </c>
      <c r="C59" s="1" t="e">
        <f>VALUE(_xlfn.XLOOKUP(imports[[#This Row],[Country]], crude[Reporter], crude[Quantity], "Not found", 0))</f>
        <v>#VALUE!</v>
      </c>
      <c r="D59" s="1" t="e">
        <f>imports[[#This Row],[Crude (kg)]]/(136.4*10^6)</f>
        <v>#VALUE!</v>
      </c>
      <c r="E59" s="1" t="e">
        <f>imports[[#This Row],[Crude (mb/y)]]/365</f>
        <v>#VALUE!</v>
      </c>
      <c r="F59" s="1">
        <f>VALUE(_xlfn.XLOOKUP(imports[[#This Row],[Country]], refined[Reporter], refined[Quantity], "Not found", 0))</f>
        <v>2852590000</v>
      </c>
      <c r="G59" s="1">
        <f>imports[[#This Row],[Refined (kg)]]/(137*10^6)</f>
        <v>20.821824817518248</v>
      </c>
      <c r="H59" s="1">
        <f>imports[[#This Row],[Refined (mb/y)]]/365</f>
        <v>5.7046095390460953E-2</v>
      </c>
      <c r="I59" s="1" t="e">
        <f>imports[[#This Row],[Crude (mb/y)]]+imports[[#This Row],[Refined (mb/y)]]</f>
        <v>#VALUE!</v>
      </c>
      <c r="J59" s="1" t="e">
        <f>imports[[#This Row],[Crude (mb/d)]]+imports[[#This Row],[Refined (mb/d)]]</f>
        <v>#VALUE!</v>
      </c>
    </row>
    <row r="60" spans="1:10" x14ac:dyDescent="0.2">
      <c r="A60" t="s">
        <v>283</v>
      </c>
      <c r="C60" s="4">
        <f>VALUE(_xlfn.XLOOKUP(imports[[#This Row],[Country]], crude[Reporter], crude[Quantity], "Not found", 0))</f>
        <v>71</v>
      </c>
      <c r="D60" s="4">
        <f>imports[[#This Row],[Crude (kg)]]/(136.4*10^6)</f>
        <v>5.205278592375366E-7</v>
      </c>
      <c r="E60" s="3">
        <f>imports[[#This Row],[Crude (mb/y)]]/365</f>
        <v>1.4261037239384564E-9</v>
      </c>
      <c r="F60" s="4">
        <f>VALUE(_xlfn.XLOOKUP(imports[[#This Row],[Country]], refined[Reporter], refined[Quantity], "Not found", 0))</f>
        <v>4913760000</v>
      </c>
      <c r="G60" s="4">
        <f>imports[[#This Row],[Refined (kg)]]/(137*10^6)</f>
        <v>35.866861313868611</v>
      </c>
      <c r="H60" s="3">
        <f>imports[[#This Row],[Refined (mb/y)]]/365</f>
        <v>9.8265373462653724E-2</v>
      </c>
      <c r="I60" s="4">
        <f>imports[[#This Row],[Crude (mb/y)]]+imports[[#This Row],[Refined (mb/y)]]</f>
        <v>35.866861834396474</v>
      </c>
      <c r="J60" s="3">
        <f>imports[[#This Row],[Crude (mb/d)]]+imports[[#This Row],[Refined (mb/d)]]</f>
        <v>9.8265374888757445E-2</v>
      </c>
    </row>
    <row r="61" spans="1:10" x14ac:dyDescent="0.2">
      <c r="A61" t="s">
        <v>241</v>
      </c>
      <c r="C61" s="4">
        <f>VALUE(_xlfn.XLOOKUP(imports[[#This Row],[Country]], crude[Reporter], crude[Quantity], "Not found", 0))</f>
        <v>959.58</v>
      </c>
      <c r="D61" s="4">
        <f>imports[[#This Row],[Crude (kg)]]/(136.4*10^6)</f>
        <v>7.0350439882697947E-6</v>
      </c>
      <c r="E61" s="3">
        <f>imports[[#This Row],[Crude (mb/y)]]/365</f>
        <v>1.9274093118547384E-8</v>
      </c>
      <c r="F61" s="4">
        <f>VALUE(_xlfn.XLOOKUP(imports[[#This Row],[Country]], refined[Reporter], refined[Quantity], "Not found", 0))</f>
        <v>4811530000</v>
      </c>
      <c r="G61" s="4">
        <f>imports[[#This Row],[Refined (kg)]]/(137*10^6)</f>
        <v>35.120656934306567</v>
      </c>
      <c r="H61" s="3">
        <f>imports[[#This Row],[Refined (mb/y)]]/365</f>
        <v>9.6220977902209778E-2</v>
      </c>
      <c r="I61" s="4">
        <f>imports[[#This Row],[Crude (mb/y)]]+imports[[#This Row],[Refined (mb/y)]]</f>
        <v>35.120663969350552</v>
      </c>
      <c r="J61" s="3">
        <f>imports[[#This Row],[Crude (mb/d)]]+imports[[#This Row],[Refined (mb/d)]]</f>
        <v>9.6220997176302892E-2</v>
      </c>
    </row>
    <row r="62" spans="1:10" x14ac:dyDescent="0.2">
      <c r="A62" t="s">
        <v>277</v>
      </c>
      <c r="C62" s="4">
        <f>VALUE(_xlfn.XLOOKUP(imports[[#This Row],[Country]], crude[Reporter], crude[Quantity], "Not found", 0))</f>
        <v>777.57</v>
      </c>
      <c r="D62" s="4">
        <f>imports[[#This Row],[Crude (kg)]]/(136.4*10^6)</f>
        <v>5.7006598240469208E-6</v>
      </c>
      <c r="E62" s="3">
        <f>imports[[#This Row],[Crude (mb/y)]]/365</f>
        <v>1.5618246093279236E-8</v>
      </c>
      <c r="F62" s="4">
        <f>VALUE(_xlfn.XLOOKUP(imports[[#This Row],[Country]], refined[Reporter], refined[Quantity], "Not found", 0))</f>
        <v>4618940000</v>
      </c>
      <c r="G62" s="4">
        <f>imports[[#This Row],[Refined (kg)]]/(137*10^6)</f>
        <v>33.714890510948905</v>
      </c>
      <c r="H62" s="3">
        <f>imports[[#This Row],[Refined (mb/y)]]/365</f>
        <v>9.2369563043695632E-2</v>
      </c>
      <c r="I62" s="4">
        <f>imports[[#This Row],[Crude (mb/y)]]+imports[[#This Row],[Refined (mb/y)]]</f>
        <v>33.714896211608732</v>
      </c>
      <c r="J62" s="3">
        <f>imports[[#This Row],[Crude (mb/d)]]+imports[[#This Row],[Refined (mb/d)]]</f>
        <v>9.2369578661941731E-2</v>
      </c>
    </row>
    <row r="63" spans="1:10" x14ac:dyDescent="0.2">
      <c r="A63" t="s">
        <v>159</v>
      </c>
      <c r="C63" s="4">
        <f>VALUE(_xlfn.XLOOKUP(imports[[#This Row],[Country]], crude[Reporter], crude[Quantity], "Not found", 0))</f>
        <v>1175330000</v>
      </c>
      <c r="D63" s="4">
        <f>imports[[#This Row],[Crude (kg)]]/(136.4*10^6)</f>
        <v>8.6167888563049857</v>
      </c>
      <c r="E63" s="3">
        <f>imports[[#This Row],[Crude (mb/y)]]/365</f>
        <v>2.3607640702205439E-2</v>
      </c>
      <c r="F63" s="4">
        <f>VALUE(_xlfn.XLOOKUP(imports[[#This Row],[Country]], refined[Reporter], refined[Quantity], "Not found", 0))</f>
        <v>3257810000</v>
      </c>
      <c r="G63" s="4">
        <f>imports[[#This Row],[Refined (kg)]]/(137*10^6)</f>
        <v>23.779635036496352</v>
      </c>
      <c r="H63" s="3">
        <f>imports[[#This Row],[Refined (mb/y)]]/365</f>
        <v>6.514968503149686E-2</v>
      </c>
      <c r="I63" s="4">
        <f>imports[[#This Row],[Crude (mb/y)]]+imports[[#This Row],[Refined (mb/y)]]</f>
        <v>32.396423892801337</v>
      </c>
      <c r="J63" s="3">
        <f>imports[[#This Row],[Crude (mb/d)]]+imports[[#This Row],[Refined (mb/d)]]</f>
        <v>8.8757325733702291E-2</v>
      </c>
    </row>
    <row r="64" spans="1:10" x14ac:dyDescent="0.2">
      <c r="A64" t="s">
        <v>147</v>
      </c>
      <c r="C64" s="4">
        <f>VALUE(_xlfn.XLOOKUP(imports[[#This Row],[Country]], crude[Reporter], crude[Quantity], "Not found", 0))</f>
        <v>1815940000</v>
      </c>
      <c r="D64" s="4">
        <f>imports[[#This Row],[Crude (kg)]]/(136.4*10^6)</f>
        <v>13.313343108504398</v>
      </c>
      <c r="E64" s="3">
        <f>imports[[#This Row],[Crude (mb/y)]]/365</f>
        <v>3.6474912626039448E-2</v>
      </c>
      <c r="F64" s="4">
        <f>VALUE(_xlfn.XLOOKUP(imports[[#This Row],[Country]], refined[Reporter], refined[Quantity], "Not found", 0))</f>
        <v>1784850000</v>
      </c>
      <c r="G64" s="4">
        <f>imports[[#This Row],[Refined (kg)]]/(137*10^6)</f>
        <v>13.028102189781022</v>
      </c>
      <c r="H64" s="3">
        <f>imports[[#This Row],[Refined (mb/y)]]/365</f>
        <v>3.5693430656934304E-2</v>
      </c>
      <c r="I64" s="4">
        <f>imports[[#This Row],[Crude (mb/y)]]+imports[[#This Row],[Refined (mb/y)]]</f>
        <v>26.341445298285421</v>
      </c>
      <c r="J64" s="3">
        <f>imports[[#This Row],[Crude (mb/d)]]+imports[[#This Row],[Refined (mb/d)]]</f>
        <v>7.2168343282973751E-2</v>
      </c>
    </row>
    <row r="65" spans="1:10" x14ac:dyDescent="0.2">
      <c r="A65" t="s">
        <v>139</v>
      </c>
      <c r="C65" s="4">
        <f>VALUE(_xlfn.XLOOKUP(imports[[#This Row],[Country]], crude[Reporter], crude[Quantity], "Not found", 0))</f>
        <v>2636730000</v>
      </c>
      <c r="D65" s="4">
        <f>imports[[#This Row],[Crude (kg)]]/(136.4*10^6)</f>
        <v>19.330865102639297</v>
      </c>
      <c r="E65" s="3">
        <f>imports[[#This Row],[Crude (mb/y)]]/365</f>
        <v>5.2961274253806291E-2</v>
      </c>
      <c r="F65" s="4">
        <f>VALUE(_xlfn.XLOOKUP(imports[[#This Row],[Country]], refined[Reporter], refined[Quantity], "Not found", 0))</f>
        <v>941149000</v>
      </c>
      <c r="G65" s="4">
        <f>imports[[#This Row],[Refined (kg)]]/(137*10^6)</f>
        <v>6.8697007299270076</v>
      </c>
      <c r="H65" s="3">
        <f>imports[[#This Row],[Refined (mb/y)]]/365</f>
        <v>1.882109789021098E-2</v>
      </c>
      <c r="I65" s="4">
        <f>imports[[#This Row],[Crude (mb/y)]]+imports[[#This Row],[Refined (mb/y)]]</f>
        <v>26.200565832566305</v>
      </c>
      <c r="J65" s="3">
        <f>imports[[#This Row],[Crude (mb/d)]]+imports[[#This Row],[Refined (mb/d)]]</f>
        <v>7.1782372144017267E-2</v>
      </c>
    </row>
    <row r="66" spans="1:10" x14ac:dyDescent="0.2">
      <c r="A66" t="s">
        <v>183</v>
      </c>
      <c r="C66" s="4">
        <f>VALUE(_xlfn.XLOOKUP(imports[[#This Row],[Country]], crude[Reporter], crude[Quantity], "Not found", 0))</f>
        <v>619564000</v>
      </c>
      <c r="D66" s="4">
        <f>imports[[#This Row],[Crude (kg)]]/(136.4*10^6)</f>
        <v>4.5422580645161288</v>
      </c>
      <c r="E66" s="3">
        <f>imports[[#This Row],[Crude (mb/y)]]/365</f>
        <v>1.2444542642509942E-2</v>
      </c>
      <c r="F66" s="4">
        <f>VALUE(_xlfn.XLOOKUP(imports[[#This Row],[Country]], refined[Reporter], refined[Quantity], "Not found", 0))</f>
        <v>2748890000</v>
      </c>
      <c r="G66" s="4">
        <f>imports[[#This Row],[Refined (kg)]]/(137*10^6)</f>
        <v>20.064890510948906</v>
      </c>
      <c r="H66" s="3">
        <f>imports[[#This Row],[Refined (mb/y)]]/365</f>
        <v>5.4972302769723029E-2</v>
      </c>
      <c r="I66" s="4">
        <f>imports[[#This Row],[Crude (mb/y)]]+imports[[#This Row],[Refined (mb/y)]]</f>
        <v>24.607148575465036</v>
      </c>
      <c r="J66" s="3">
        <f>imports[[#This Row],[Crude (mb/d)]]+imports[[#This Row],[Refined (mb/d)]]</f>
        <v>6.7416845412232973E-2</v>
      </c>
    </row>
    <row r="67" spans="1:10" x14ac:dyDescent="0.2">
      <c r="A67" t="s">
        <v>246</v>
      </c>
      <c r="C67" s="4">
        <f>VALUE(_xlfn.XLOOKUP(imports[[#This Row],[Country]], crude[Reporter], crude[Quantity], "Not found", 0))</f>
        <v>55000</v>
      </c>
      <c r="D67" s="4">
        <f>imports[[#This Row],[Crude (kg)]]/(136.4*10^6)</f>
        <v>4.032258064516129E-4</v>
      </c>
      <c r="E67" s="3">
        <f>imports[[#This Row],[Crude (mb/y)]]/365</f>
        <v>1.104728236853734E-6</v>
      </c>
      <c r="F67" s="4">
        <f>VALUE(_xlfn.XLOOKUP(imports[[#This Row],[Country]], refined[Reporter], refined[Quantity], "Not found", 0))</f>
        <v>3288050000</v>
      </c>
      <c r="G67" s="4">
        <f>imports[[#This Row],[Refined (kg)]]/(137*10^6)</f>
        <v>24.00036496350365</v>
      </c>
      <c r="H67" s="3">
        <f>imports[[#This Row],[Refined (mb/y)]]/365</f>
        <v>6.5754424557544239E-2</v>
      </c>
      <c r="I67" s="4">
        <f>imports[[#This Row],[Crude (mb/y)]]+imports[[#This Row],[Refined (mb/y)]]</f>
        <v>24.000768189310101</v>
      </c>
      <c r="J67" s="3">
        <f>imports[[#This Row],[Crude (mb/d)]]+imports[[#This Row],[Refined (mb/d)]]</f>
        <v>6.5755529285781086E-2</v>
      </c>
    </row>
    <row r="68" spans="1:10" hidden="1" x14ac:dyDescent="0.2">
      <c r="A68" t="s">
        <v>471</v>
      </c>
      <c r="C68" s="1" t="e">
        <f>VALUE(_xlfn.XLOOKUP(imports[[#This Row],[Country]], crude[Reporter], crude[Quantity], "Not found", 0))</f>
        <v>#VALUE!</v>
      </c>
      <c r="D68" s="1" t="e">
        <f>imports[[#This Row],[Crude (kg)]]/(136.4*10^6)</f>
        <v>#VALUE!</v>
      </c>
      <c r="E68" s="1" t="e">
        <f>imports[[#This Row],[Crude (mb/y)]]/365</f>
        <v>#VALUE!</v>
      </c>
      <c r="F68" s="1">
        <f>VALUE(_xlfn.XLOOKUP(imports[[#This Row],[Country]], refined[Reporter], refined[Quantity], "Not found", 0))</f>
        <v>1733990000</v>
      </c>
      <c r="G68" s="1">
        <f>imports[[#This Row],[Refined (kg)]]/(137*10^6)</f>
        <v>12.656861313868614</v>
      </c>
      <c r="H68" s="1">
        <f>imports[[#This Row],[Refined (mb/y)]]/365</f>
        <v>3.4676332366763325E-2</v>
      </c>
      <c r="I68" s="1" t="e">
        <f>imports[[#This Row],[Crude (mb/y)]]+imports[[#This Row],[Refined (mb/y)]]</f>
        <v>#VALUE!</v>
      </c>
      <c r="J68" s="1" t="e">
        <f>imports[[#This Row],[Crude (mb/d)]]+imports[[#This Row],[Refined (mb/d)]]</f>
        <v>#VALUE!</v>
      </c>
    </row>
    <row r="69" spans="1:10" hidden="1" x14ac:dyDescent="0.2">
      <c r="A69" t="s">
        <v>474</v>
      </c>
      <c r="C69" s="1" t="e">
        <f>VALUE(_xlfn.XLOOKUP(imports[[#This Row],[Country]], crude[Reporter], crude[Quantity], "Not found", 0))</f>
        <v>#VALUE!</v>
      </c>
      <c r="D69" s="1" t="e">
        <f>imports[[#This Row],[Crude (kg)]]/(136.4*10^6)</f>
        <v>#VALUE!</v>
      </c>
      <c r="E69" s="1" t="e">
        <f>imports[[#This Row],[Crude (mb/y)]]/365</f>
        <v>#VALUE!</v>
      </c>
      <c r="F69" s="1">
        <f>VALUE(_xlfn.XLOOKUP(imports[[#This Row],[Country]], refined[Reporter], refined[Quantity], "Not found", 0))</f>
        <v>1764810000</v>
      </c>
      <c r="G69" s="1">
        <f>imports[[#This Row],[Refined (kg)]]/(137*10^6)</f>
        <v>12.881824817518249</v>
      </c>
      <c r="H69" s="1">
        <f>imports[[#This Row],[Refined (mb/y)]]/365</f>
        <v>3.5292670732926711E-2</v>
      </c>
      <c r="I69" s="1" t="e">
        <f>imports[[#This Row],[Crude (mb/y)]]+imports[[#This Row],[Refined (mb/y)]]</f>
        <v>#VALUE!</v>
      </c>
      <c r="J69" s="1" t="e">
        <f>imports[[#This Row],[Crude (mb/d)]]+imports[[#This Row],[Refined (mb/d)]]</f>
        <v>#VALUE!</v>
      </c>
    </row>
    <row r="70" spans="1:10" x14ac:dyDescent="0.2">
      <c r="A70" t="s">
        <v>268</v>
      </c>
      <c r="C70" s="4">
        <f>VALUE(_xlfn.XLOOKUP(imports[[#This Row],[Country]], crude[Reporter], crude[Quantity], "Not found", 0))</f>
        <v>1046</v>
      </c>
      <c r="D70" s="4">
        <f>imports[[#This Row],[Crude (kg)]]/(136.4*10^6)</f>
        <v>7.6686217008797658E-6</v>
      </c>
      <c r="E70" s="3">
        <f>imports[[#This Row],[Crude (mb/y)]]/365</f>
        <v>2.1009922468163742E-8</v>
      </c>
      <c r="F70" s="4">
        <f>VALUE(_xlfn.XLOOKUP(imports[[#This Row],[Country]], refined[Reporter], refined[Quantity], "Not found", 0))</f>
        <v>3210060000</v>
      </c>
      <c r="G70" s="4">
        <f>imports[[#This Row],[Refined (kg)]]/(137*10^6)</f>
        <v>23.431094890510948</v>
      </c>
      <c r="H70" s="3">
        <f>imports[[#This Row],[Refined (mb/y)]]/365</f>
        <v>6.4194780521947797E-2</v>
      </c>
      <c r="I70" s="4">
        <f>imports[[#This Row],[Crude (mb/y)]]+imports[[#This Row],[Refined (mb/y)]]</f>
        <v>23.43110255913265</v>
      </c>
      <c r="J70" s="3">
        <f>imports[[#This Row],[Crude (mb/d)]]+imports[[#This Row],[Refined (mb/d)]]</f>
        <v>6.4194801531870266E-2</v>
      </c>
    </row>
    <row r="71" spans="1:10" x14ac:dyDescent="0.2">
      <c r="A71" t="s">
        <v>289</v>
      </c>
      <c r="C71" s="4">
        <f>VALUE(_xlfn.XLOOKUP(imports[[#This Row],[Country]], crude[Reporter], crude[Quantity], "Not found", 0))</f>
        <v>5</v>
      </c>
      <c r="D71" s="4">
        <f>imports[[#This Row],[Crude (kg)]]/(136.4*10^6)</f>
        <v>3.6656891495601171E-8</v>
      </c>
      <c r="E71" s="3">
        <f>imports[[#This Row],[Crude (mb/y)]]/365</f>
        <v>1.0042983971397581E-10</v>
      </c>
      <c r="F71" s="4">
        <f>VALUE(_xlfn.XLOOKUP(imports[[#This Row],[Country]], refined[Reporter], refined[Quantity], "Not found", 0))</f>
        <v>3159400000</v>
      </c>
      <c r="G71" s="4">
        <f>imports[[#This Row],[Refined (kg)]]/(137*10^6)</f>
        <v>23.061313868613137</v>
      </c>
      <c r="H71" s="3">
        <f>imports[[#This Row],[Refined (mb/y)]]/365</f>
        <v>6.3181681831816813E-2</v>
      </c>
      <c r="I71" s="4">
        <f>imports[[#This Row],[Crude (mb/y)]]+imports[[#This Row],[Refined (mb/y)]]</f>
        <v>23.06131390527003</v>
      </c>
      <c r="J71" s="3">
        <f>imports[[#This Row],[Crude (mb/d)]]+imports[[#This Row],[Refined (mb/d)]]</f>
        <v>6.3181681932246658E-2</v>
      </c>
    </row>
    <row r="72" spans="1:10" x14ac:dyDescent="0.2">
      <c r="A72" t="s">
        <v>134</v>
      </c>
      <c r="C72" s="4">
        <f>VALUE(_xlfn.XLOOKUP(imports[[#This Row],[Country]], crude[Reporter], crude[Quantity], "Not found", 0))</f>
        <v>2872570000</v>
      </c>
      <c r="D72" s="4">
        <f>imports[[#This Row],[Crude (kg)]]/(136.4*10^6)</f>
        <v>21.059897360703811</v>
      </c>
      <c r="E72" s="3">
        <f>imports[[#This Row],[Crude (mb/y)]]/365</f>
        <v>5.7698348933435097E-2</v>
      </c>
      <c r="F72" s="4">
        <f>VALUE(_xlfn.XLOOKUP(imports[[#This Row],[Country]], refined[Reporter], refined[Quantity], "Not found", 0))</f>
        <v>184151000</v>
      </c>
      <c r="G72" s="4">
        <f>imports[[#This Row],[Refined (kg)]]/(137*10^6)</f>
        <v>1.3441678832116788</v>
      </c>
      <c r="H72" s="3">
        <f>imports[[#This Row],[Refined (mb/y)]]/365</f>
        <v>3.6826517348265172E-3</v>
      </c>
      <c r="I72" s="4">
        <f>imports[[#This Row],[Crude (mb/y)]]+imports[[#This Row],[Refined (mb/y)]]</f>
        <v>22.40406524391549</v>
      </c>
      <c r="J72" s="3">
        <f>imports[[#This Row],[Crude (mb/d)]]+imports[[#This Row],[Refined (mb/d)]]</f>
        <v>6.1381000668261611E-2</v>
      </c>
    </row>
    <row r="73" spans="1:10" hidden="1" x14ac:dyDescent="0.2">
      <c r="A73" t="s">
        <v>294</v>
      </c>
      <c r="C73" s="1" t="e">
        <f>VALUE(_xlfn.XLOOKUP(imports[[#This Row],[Country]], crude[Reporter], crude[Quantity], "Not found", 0))</f>
        <v>#VALUE!</v>
      </c>
      <c r="D73" s="1" t="e">
        <f>imports[[#This Row],[Crude (kg)]]/(136.4*10^6)</f>
        <v>#VALUE!</v>
      </c>
      <c r="E73" s="1" t="e">
        <f>imports[[#This Row],[Crude (mb/y)]]/365</f>
        <v>#VALUE!</v>
      </c>
      <c r="F73" s="1">
        <f>VALUE(_xlfn.XLOOKUP(imports[[#This Row],[Country]], refined[Reporter], refined[Quantity], "Not found", 0))</f>
        <v>2251040000</v>
      </c>
      <c r="G73" s="1">
        <f>imports[[#This Row],[Refined (kg)]]/(137*10^6)</f>
        <v>16.430948905109489</v>
      </c>
      <c r="H73" s="1">
        <f>imports[[#This Row],[Refined (mb/y)]]/365</f>
        <v>4.501629837016298E-2</v>
      </c>
      <c r="I73" s="1" t="e">
        <f>imports[[#This Row],[Crude (mb/y)]]+imports[[#This Row],[Refined (mb/y)]]</f>
        <v>#VALUE!</v>
      </c>
      <c r="J73" s="1" t="e">
        <f>imports[[#This Row],[Crude (mb/d)]]+imports[[#This Row],[Refined (mb/d)]]</f>
        <v>#VALUE!</v>
      </c>
    </row>
    <row r="74" spans="1:10" hidden="1" x14ac:dyDescent="0.2">
      <c r="A74" t="s">
        <v>209</v>
      </c>
      <c r="C74" s="1" t="e">
        <f>VALUE(_xlfn.XLOOKUP(imports[[#This Row],[Country]], crude[Reporter], crude[Quantity], "Not found", 0))</f>
        <v>#VALUE!</v>
      </c>
      <c r="D74" s="1" t="e">
        <f>imports[[#This Row],[Crude (kg)]]/(136.4*10^6)</f>
        <v>#VALUE!</v>
      </c>
      <c r="E74" s="1" t="e">
        <f>imports[[#This Row],[Crude (mb/y)]]/365</f>
        <v>#VALUE!</v>
      </c>
      <c r="F74" s="1">
        <f>VALUE(_xlfn.XLOOKUP(imports[[#This Row],[Country]], refined[Reporter], refined[Quantity], "Not found", 0))</f>
        <v>1573050000</v>
      </c>
      <c r="G74" s="1">
        <f>imports[[#This Row],[Refined (kg)]]/(137*10^6)</f>
        <v>11.482116788321168</v>
      </c>
      <c r="H74" s="1">
        <f>imports[[#This Row],[Refined (mb/y)]]/365</f>
        <v>3.1457854214578543E-2</v>
      </c>
      <c r="I74" s="1" t="e">
        <f>imports[[#This Row],[Crude (mb/y)]]+imports[[#This Row],[Refined (mb/y)]]</f>
        <v>#VALUE!</v>
      </c>
      <c r="J74" s="1" t="e">
        <f>imports[[#This Row],[Crude (mb/d)]]+imports[[#This Row],[Refined (mb/d)]]</f>
        <v>#VALUE!</v>
      </c>
    </row>
    <row r="75" spans="1:10" x14ac:dyDescent="0.2">
      <c r="A75" t="s">
        <v>150</v>
      </c>
      <c r="C75" s="4">
        <f>VALUE(_xlfn.XLOOKUP(imports[[#This Row],[Country]], crude[Reporter], crude[Quantity], "Not found", 0))</f>
        <v>1868940000</v>
      </c>
      <c r="D75" s="4">
        <f>imports[[#This Row],[Crude (kg)]]/(136.4*10^6)</f>
        <v>13.701906158357771</v>
      </c>
      <c r="E75" s="3">
        <f>imports[[#This Row],[Crude (mb/y)]]/365</f>
        <v>3.7539468927007588E-2</v>
      </c>
      <c r="F75" s="4">
        <f>VALUE(_xlfn.XLOOKUP(imports[[#This Row],[Country]], refined[Reporter], refined[Quantity], "Not found", 0))</f>
        <v>961063000</v>
      </c>
      <c r="G75" s="4">
        <f>imports[[#This Row],[Refined (kg)]]/(137*10^6)</f>
        <v>7.015058394160584</v>
      </c>
      <c r="H75" s="3">
        <f>imports[[#This Row],[Refined (mb/y)]]/365</f>
        <v>1.921933806619338E-2</v>
      </c>
      <c r="I75" s="4">
        <f>imports[[#This Row],[Crude (mb/y)]]+imports[[#This Row],[Refined (mb/y)]]</f>
        <v>20.716964552518355</v>
      </c>
      <c r="J75" s="3">
        <f>imports[[#This Row],[Crude (mb/d)]]+imports[[#This Row],[Refined (mb/d)]]</f>
        <v>5.6758806993200968E-2</v>
      </c>
    </row>
    <row r="76" spans="1:10" x14ac:dyDescent="0.2">
      <c r="A76" t="s">
        <v>171</v>
      </c>
      <c r="C76" s="4">
        <f>VALUE(_xlfn.XLOOKUP(imports[[#This Row],[Country]], crude[Reporter], crude[Quantity], "Not found", 0))</f>
        <v>1031160000</v>
      </c>
      <c r="D76" s="4">
        <f>imports[[#This Row],[Crude (kg)]]/(136.4*10^6)</f>
        <v>7.5598240469208209</v>
      </c>
      <c r="E76" s="3">
        <f>imports[[#This Row],[Crude (mb/y)]]/365</f>
        <v>2.0711846703892658E-2</v>
      </c>
      <c r="F76" s="4">
        <f>VALUE(_xlfn.XLOOKUP(imports[[#This Row],[Country]], refined[Reporter], refined[Quantity], "Not found", 0))</f>
        <v>1550160000</v>
      </c>
      <c r="G76" s="4">
        <f>imports[[#This Row],[Refined (kg)]]/(137*10^6)</f>
        <v>11.315036496350364</v>
      </c>
      <c r="H76" s="3">
        <f>imports[[#This Row],[Refined (mb/y)]]/365</f>
        <v>3.1000099990000998E-2</v>
      </c>
      <c r="I76" s="4">
        <f>imports[[#This Row],[Crude (mb/y)]]+imports[[#This Row],[Refined (mb/y)]]</f>
        <v>18.874860543271186</v>
      </c>
      <c r="J76" s="3">
        <f>imports[[#This Row],[Crude (mb/d)]]+imports[[#This Row],[Refined (mb/d)]]</f>
        <v>5.1711946693893659E-2</v>
      </c>
    </row>
    <row r="77" spans="1:10" hidden="1" x14ac:dyDescent="0.2">
      <c r="A77" t="s">
        <v>239</v>
      </c>
      <c r="C77" s="1" t="e">
        <f>VALUE(_xlfn.XLOOKUP(imports[[#This Row],[Country]], crude[Reporter], crude[Quantity], "Not found", 0))</f>
        <v>#VALUE!</v>
      </c>
      <c r="D77" s="1" t="e">
        <f>imports[[#This Row],[Crude (kg)]]/(136.4*10^6)</f>
        <v>#VALUE!</v>
      </c>
      <c r="E77" s="1" t="e">
        <f>imports[[#This Row],[Crude (mb/y)]]/365</f>
        <v>#VALUE!</v>
      </c>
      <c r="F77" s="1">
        <f>VALUE(_xlfn.XLOOKUP(imports[[#This Row],[Country]], refined[Reporter], refined[Quantity], "Not found", 0))</f>
        <v>1488040000</v>
      </c>
      <c r="G77" s="1">
        <f>imports[[#This Row],[Refined (kg)]]/(137*10^6)</f>
        <v>10.861605839416058</v>
      </c>
      <c r="H77" s="1">
        <f>imports[[#This Row],[Refined (mb/y)]]/365</f>
        <v>2.9757824217578239E-2</v>
      </c>
      <c r="I77" s="1" t="e">
        <f>imports[[#This Row],[Crude (mb/y)]]+imports[[#This Row],[Refined (mb/y)]]</f>
        <v>#VALUE!</v>
      </c>
      <c r="J77" s="1" t="e">
        <f>imports[[#This Row],[Crude (mb/d)]]+imports[[#This Row],[Refined (mb/d)]]</f>
        <v>#VALUE!</v>
      </c>
    </row>
    <row r="78" spans="1:10" hidden="1" x14ac:dyDescent="0.2">
      <c r="A78" t="s">
        <v>496</v>
      </c>
      <c r="C78" s="1" t="e">
        <f>VALUE(_xlfn.XLOOKUP(imports[[#This Row],[Country]], crude[Reporter], crude[Quantity], "Not found", 0))</f>
        <v>#VALUE!</v>
      </c>
      <c r="D78" s="1" t="e">
        <f>imports[[#This Row],[Crude (kg)]]/(136.4*10^6)</f>
        <v>#VALUE!</v>
      </c>
      <c r="E78" s="1" t="e">
        <f>imports[[#This Row],[Crude (mb/y)]]/365</f>
        <v>#VALUE!</v>
      </c>
      <c r="F78" s="1">
        <f>VALUE(_xlfn.XLOOKUP(imports[[#This Row],[Country]], refined[Reporter], refined[Quantity], "Not found", 0))</f>
        <v>1929470000</v>
      </c>
      <c r="G78" s="1">
        <f>imports[[#This Row],[Refined (kg)]]/(137*10^6)</f>
        <v>14.083722627737226</v>
      </c>
      <c r="H78" s="1">
        <f>imports[[#This Row],[Refined (mb/y)]]/365</f>
        <v>3.8585541445855416E-2</v>
      </c>
      <c r="I78" s="1" t="e">
        <f>imports[[#This Row],[Crude (mb/y)]]+imports[[#This Row],[Refined (mb/y)]]</f>
        <v>#VALUE!</v>
      </c>
      <c r="J78" s="1" t="e">
        <f>imports[[#This Row],[Crude (mb/d)]]+imports[[#This Row],[Refined (mb/d)]]</f>
        <v>#VALUE!</v>
      </c>
    </row>
    <row r="79" spans="1:10" x14ac:dyDescent="0.2">
      <c r="A79" t="s">
        <v>234</v>
      </c>
      <c r="C79" s="4">
        <f>VALUE(_xlfn.XLOOKUP(imports[[#This Row],[Country]], crude[Reporter], crude[Quantity], "Not found", 0))</f>
        <v>2221.8000000000002</v>
      </c>
      <c r="D79" s="4">
        <f>imports[[#This Row],[Crude (kg)]]/(136.4*10^6)</f>
        <v>1.6288856304985338E-5</v>
      </c>
      <c r="E79" s="3">
        <f>imports[[#This Row],[Crude (mb/y)]]/365</f>
        <v>4.4627003575302294E-8</v>
      </c>
      <c r="F79" s="4">
        <f>VALUE(_xlfn.XLOOKUP(imports[[#This Row],[Country]], refined[Reporter], refined[Quantity], "Not found", 0))</f>
        <v>2378450000</v>
      </c>
      <c r="G79" s="4">
        <f>imports[[#This Row],[Refined (kg)]]/(137*10^6)</f>
        <v>17.360948905109488</v>
      </c>
      <c r="H79" s="3">
        <f>imports[[#This Row],[Refined (mb/y)]]/365</f>
        <v>4.7564243575642436E-2</v>
      </c>
      <c r="I79" s="4">
        <f>imports[[#This Row],[Crude (mb/y)]]+imports[[#This Row],[Refined (mb/y)]]</f>
        <v>17.360965193965793</v>
      </c>
      <c r="J79" s="3">
        <f>imports[[#This Row],[Crude (mb/d)]]+imports[[#This Row],[Refined (mb/d)]]</f>
        <v>4.7564288202646014E-2</v>
      </c>
    </row>
    <row r="80" spans="1:10" x14ac:dyDescent="0.2">
      <c r="A80" t="s">
        <v>217</v>
      </c>
      <c r="C80" s="4">
        <f>VALUE(_xlfn.XLOOKUP(imports[[#This Row],[Country]], crude[Reporter], crude[Quantity], "Not found", 0))</f>
        <v>1433</v>
      </c>
      <c r="D80" s="4">
        <f>imports[[#This Row],[Crude (kg)]]/(136.4*10^6)</f>
        <v>1.0505865102639297E-5</v>
      </c>
      <c r="E80" s="3">
        <f>imports[[#This Row],[Crude (mb/y)]]/365</f>
        <v>2.8783192062025472E-8</v>
      </c>
      <c r="F80" s="4">
        <f>VALUE(_xlfn.XLOOKUP(imports[[#This Row],[Country]], refined[Reporter], refined[Quantity], "Not found", 0))</f>
        <v>2315740000</v>
      </c>
      <c r="G80" s="4">
        <f>imports[[#This Row],[Refined (kg)]]/(137*10^6)</f>
        <v>16.903211678832118</v>
      </c>
      <c r="H80" s="3">
        <f>imports[[#This Row],[Refined (mb/y)]]/365</f>
        <v>4.6310168983101696E-2</v>
      </c>
      <c r="I80" s="4">
        <f>imports[[#This Row],[Crude (mb/y)]]+imports[[#This Row],[Refined (mb/y)]]</f>
        <v>16.903222184697221</v>
      </c>
      <c r="J80" s="3">
        <f>imports[[#This Row],[Crude (mb/d)]]+imports[[#This Row],[Refined (mb/d)]]</f>
        <v>4.6310197766293755E-2</v>
      </c>
    </row>
    <row r="81" spans="1:10" hidden="1" x14ac:dyDescent="0.2">
      <c r="A81" t="s">
        <v>244</v>
      </c>
      <c r="C81" s="1" t="e">
        <f>VALUE(_xlfn.XLOOKUP(imports[[#This Row],[Country]], crude[Reporter], crude[Quantity], "Not found", 0))</f>
        <v>#VALUE!</v>
      </c>
      <c r="D81" s="1" t="e">
        <f>imports[[#This Row],[Crude (kg)]]/(136.4*10^6)</f>
        <v>#VALUE!</v>
      </c>
      <c r="E81" s="1" t="e">
        <f>imports[[#This Row],[Crude (mb/y)]]/365</f>
        <v>#VALUE!</v>
      </c>
      <c r="F81" s="1">
        <f>VALUE(_xlfn.XLOOKUP(imports[[#This Row],[Country]], refined[Reporter], refined[Quantity], "Not found", 0))</f>
        <v>1351720000</v>
      </c>
      <c r="G81" s="1">
        <f>imports[[#This Row],[Refined (kg)]]/(137*10^6)</f>
        <v>9.8665693430656933</v>
      </c>
      <c r="H81" s="1">
        <f>imports[[#This Row],[Refined (mb/y)]]/365</f>
        <v>2.7031696830316969E-2</v>
      </c>
      <c r="I81" s="1" t="e">
        <f>imports[[#This Row],[Crude (mb/y)]]+imports[[#This Row],[Refined (mb/y)]]</f>
        <v>#VALUE!</v>
      </c>
      <c r="J81" s="1" t="e">
        <f>imports[[#This Row],[Crude (mb/d)]]+imports[[#This Row],[Refined (mb/d)]]</f>
        <v>#VALUE!</v>
      </c>
    </row>
    <row r="82" spans="1:10" x14ac:dyDescent="0.2">
      <c r="A82" t="s">
        <v>177</v>
      </c>
      <c r="C82" s="4">
        <f>VALUE(_xlfn.XLOOKUP(imports[[#This Row],[Country]], crude[Reporter], crude[Quantity], "Not found", 0))</f>
        <v>872449000</v>
      </c>
      <c r="D82" s="4">
        <f>imports[[#This Row],[Crude (kg)]]/(136.4*10^6)</f>
        <v>6.3962536656891498</v>
      </c>
      <c r="E82" s="3">
        <f>imports[[#This Row],[Crude (mb/y)]]/365</f>
        <v>1.7523982645723697E-2</v>
      </c>
      <c r="F82" s="4">
        <f>VALUE(_xlfn.XLOOKUP(imports[[#This Row],[Country]], refined[Reporter], refined[Quantity], "Not found", 0))</f>
        <v>1419320000</v>
      </c>
      <c r="G82" s="4">
        <f>imports[[#This Row],[Refined (kg)]]/(137*10^6)</f>
        <v>10.36</v>
      </c>
      <c r="H82" s="3">
        <f>imports[[#This Row],[Refined (mb/y)]]/365</f>
        <v>2.8383561643835615E-2</v>
      </c>
      <c r="I82" s="4">
        <f>imports[[#This Row],[Crude (mb/y)]]+imports[[#This Row],[Refined (mb/y)]]</f>
        <v>16.756253665689151</v>
      </c>
      <c r="J82" s="3">
        <f>imports[[#This Row],[Crude (mb/d)]]+imports[[#This Row],[Refined (mb/d)]]</f>
        <v>4.5907544289559316E-2</v>
      </c>
    </row>
    <row r="83" spans="1:10" x14ac:dyDescent="0.2">
      <c r="A83" t="s">
        <v>194</v>
      </c>
      <c r="C83" s="4">
        <f>VALUE(_xlfn.XLOOKUP(imports[[#This Row],[Country]], crude[Reporter], crude[Quantity], "Not found", 0))</f>
        <v>899796</v>
      </c>
      <c r="D83" s="4">
        <f>imports[[#This Row],[Crude (kg)]]/(136.4*10^6)</f>
        <v>6.5967448680351905E-3</v>
      </c>
      <c r="E83" s="3">
        <f>imports[[#This Row],[Crude (mb/y)]]/365</f>
        <v>1.8073273611055316E-5</v>
      </c>
      <c r="F83" s="4">
        <f>VALUE(_xlfn.XLOOKUP(imports[[#This Row],[Country]], refined[Reporter], refined[Quantity], "Not found", 0))</f>
        <v>2250810000</v>
      </c>
      <c r="G83" s="4">
        <f>imports[[#This Row],[Refined (kg)]]/(137*10^6)</f>
        <v>16.429270072992701</v>
      </c>
      <c r="H83" s="3">
        <f>imports[[#This Row],[Refined (mb/y)]]/365</f>
        <v>4.5011698830116985E-2</v>
      </c>
      <c r="I83" s="4">
        <f>imports[[#This Row],[Crude (mb/y)]]+imports[[#This Row],[Refined (mb/y)]]</f>
        <v>16.435866817860735</v>
      </c>
      <c r="J83" s="3">
        <f>imports[[#This Row],[Crude (mb/d)]]+imports[[#This Row],[Refined (mb/d)]]</f>
        <v>4.5029772103728043E-2</v>
      </c>
    </row>
    <row r="84" spans="1:10" x14ac:dyDescent="0.2">
      <c r="A84" t="s">
        <v>228</v>
      </c>
      <c r="C84" s="4">
        <f>VALUE(_xlfn.XLOOKUP(imports[[#This Row],[Country]], crude[Reporter], crude[Quantity], "Not found", 0))</f>
        <v>24503</v>
      </c>
      <c r="D84" s="4">
        <f>imports[[#This Row],[Crude (kg)]]/(136.4*10^6)</f>
        <v>1.7964076246334312E-4</v>
      </c>
      <c r="E84" s="3">
        <f>imports[[#This Row],[Crude (mb/y)]]/365</f>
        <v>4.9216647250230997E-7</v>
      </c>
      <c r="F84" s="4">
        <f>VALUE(_xlfn.XLOOKUP(imports[[#This Row],[Country]], refined[Reporter], refined[Quantity], "Not found", 0))</f>
        <v>2088140000</v>
      </c>
      <c r="G84" s="4">
        <f>imports[[#This Row],[Refined (kg)]]/(137*10^6)</f>
        <v>15.241897810218978</v>
      </c>
      <c r="H84" s="3">
        <f>imports[[#This Row],[Refined (mb/y)]]/365</f>
        <v>4.1758624137586242E-2</v>
      </c>
      <c r="I84" s="4">
        <f>imports[[#This Row],[Crude (mb/y)]]+imports[[#This Row],[Refined (mb/y)]]</f>
        <v>15.242077450981441</v>
      </c>
      <c r="J84" s="3">
        <f>imports[[#This Row],[Crude (mb/d)]]+imports[[#This Row],[Refined (mb/d)]]</f>
        <v>4.1759116304058742E-2</v>
      </c>
    </row>
    <row r="85" spans="1:10" x14ac:dyDescent="0.2">
      <c r="A85" t="s">
        <v>222</v>
      </c>
      <c r="C85" s="4">
        <f>VALUE(_xlfn.XLOOKUP(imports[[#This Row],[Country]], crude[Reporter], crude[Quantity], "Not found", 0))</f>
        <v>32616.799999999999</v>
      </c>
      <c r="D85" s="4">
        <f>imports[[#This Row],[Crude (kg)]]/(136.4*10^6)</f>
        <v>2.3912609970674485E-4</v>
      </c>
      <c r="E85" s="3">
        <f>imports[[#This Row],[Crude (mb/y)]]/365</f>
        <v>6.5513999919656122E-7</v>
      </c>
      <c r="F85" s="4">
        <f>VALUE(_xlfn.XLOOKUP(imports[[#This Row],[Country]], refined[Reporter], refined[Quantity], "Not found", 0))</f>
        <v>2085700000</v>
      </c>
      <c r="G85" s="4">
        <f>imports[[#This Row],[Refined (kg)]]/(137*10^6)</f>
        <v>15.224087591240876</v>
      </c>
      <c r="H85" s="3">
        <f>imports[[#This Row],[Refined (mb/y)]]/365</f>
        <v>4.1709829017098292E-2</v>
      </c>
      <c r="I85" s="4">
        <f>imports[[#This Row],[Crude (mb/y)]]+imports[[#This Row],[Refined (mb/y)]]</f>
        <v>15.224326717340583</v>
      </c>
      <c r="J85" s="3">
        <f>imports[[#This Row],[Crude (mb/d)]]+imports[[#This Row],[Refined (mb/d)]]</f>
        <v>4.1710484157097487E-2</v>
      </c>
    </row>
    <row r="86" spans="1:10" x14ac:dyDescent="0.2">
      <c r="A86" t="s">
        <v>271</v>
      </c>
      <c r="C86" s="4">
        <f>VALUE(_xlfn.XLOOKUP(imports[[#This Row],[Country]], crude[Reporter], crude[Quantity], "Not found", 0))</f>
        <v>1667</v>
      </c>
      <c r="D86" s="4">
        <f>imports[[#This Row],[Crude (kg)]]/(136.4*10^6)</f>
        <v>1.2221407624633431E-5</v>
      </c>
      <c r="E86" s="3">
        <f>imports[[#This Row],[Crude (mb/y)]]/365</f>
        <v>3.3483308560639536E-8</v>
      </c>
      <c r="F86" s="4">
        <f>VALUE(_xlfn.XLOOKUP(imports[[#This Row],[Country]], refined[Reporter], refined[Quantity], "Not found", 0))</f>
        <v>1874790000</v>
      </c>
      <c r="G86" s="4">
        <f>imports[[#This Row],[Refined (kg)]]/(137*10^6)</f>
        <v>13.684598540145986</v>
      </c>
      <c r="H86" s="3">
        <f>imports[[#This Row],[Refined (mb/y)]]/365</f>
        <v>3.749205079492051E-2</v>
      </c>
      <c r="I86" s="4">
        <f>imports[[#This Row],[Crude (mb/y)]]+imports[[#This Row],[Refined (mb/y)]]</f>
        <v>13.684610761553611</v>
      </c>
      <c r="J86" s="3">
        <f>imports[[#This Row],[Crude (mb/d)]]+imports[[#This Row],[Refined (mb/d)]]</f>
        <v>3.7492084278229074E-2</v>
      </c>
    </row>
    <row r="87" spans="1:10" hidden="1" x14ac:dyDescent="0.2">
      <c r="A87" t="s">
        <v>517</v>
      </c>
      <c r="C87" s="1" t="e">
        <f>VALUE(_xlfn.XLOOKUP(imports[[#This Row],[Country]], crude[Reporter], crude[Quantity], "Not found", 0))</f>
        <v>#VALUE!</v>
      </c>
      <c r="D87" s="1" t="e">
        <f>imports[[#This Row],[Crude (kg)]]/(136.4*10^6)</f>
        <v>#VALUE!</v>
      </c>
      <c r="E87" s="1" t="e">
        <f>imports[[#This Row],[Crude (mb/y)]]/365</f>
        <v>#VALUE!</v>
      </c>
      <c r="F87" s="1">
        <f>VALUE(_xlfn.XLOOKUP(imports[[#This Row],[Country]], refined[Reporter], refined[Quantity], "Not found", 0))</f>
        <v>1037200000</v>
      </c>
      <c r="G87" s="1">
        <f>imports[[#This Row],[Refined (kg)]]/(137*10^6)</f>
        <v>7.5708029197080293</v>
      </c>
      <c r="H87" s="1">
        <f>imports[[#This Row],[Refined (mb/y)]]/365</f>
        <v>2.0741925807419258E-2</v>
      </c>
      <c r="I87" s="1" t="e">
        <f>imports[[#This Row],[Crude (mb/y)]]+imports[[#This Row],[Refined (mb/y)]]</f>
        <v>#VALUE!</v>
      </c>
      <c r="J87" s="1" t="e">
        <f>imports[[#This Row],[Crude (mb/d)]]+imports[[#This Row],[Refined (mb/d)]]</f>
        <v>#VALUE!</v>
      </c>
    </row>
    <row r="88" spans="1:10" hidden="1" x14ac:dyDescent="0.2">
      <c r="A88" t="s">
        <v>520</v>
      </c>
      <c r="C88" s="1" t="e">
        <f>VALUE(_xlfn.XLOOKUP(imports[[#This Row],[Country]], crude[Reporter], crude[Quantity], "Not found", 0))</f>
        <v>#VALUE!</v>
      </c>
      <c r="D88" s="1" t="e">
        <f>imports[[#This Row],[Crude (kg)]]/(136.4*10^6)</f>
        <v>#VALUE!</v>
      </c>
      <c r="E88" s="1" t="e">
        <f>imports[[#This Row],[Crude (mb/y)]]/365</f>
        <v>#VALUE!</v>
      </c>
      <c r="F88" s="1">
        <f>VALUE(_xlfn.XLOOKUP(imports[[#This Row],[Country]], refined[Reporter], refined[Quantity], "Not found", 0))</f>
        <v>1026530000</v>
      </c>
      <c r="G88" s="1">
        <f>imports[[#This Row],[Refined (kg)]]/(137*10^6)</f>
        <v>7.4929197080291967</v>
      </c>
      <c r="H88" s="1">
        <f>imports[[#This Row],[Refined (mb/y)]]/365</f>
        <v>2.0528547145285469E-2</v>
      </c>
      <c r="I88" s="1" t="e">
        <f>imports[[#This Row],[Crude (mb/y)]]+imports[[#This Row],[Refined (mb/y)]]</f>
        <v>#VALUE!</v>
      </c>
      <c r="J88" s="1" t="e">
        <f>imports[[#This Row],[Crude (mb/d)]]+imports[[#This Row],[Refined (mb/d)]]</f>
        <v>#VALUE!</v>
      </c>
    </row>
    <row r="89" spans="1:10" x14ac:dyDescent="0.2">
      <c r="A89" t="s">
        <v>174</v>
      </c>
      <c r="C89" s="4">
        <f>VALUE(_xlfn.XLOOKUP(imports[[#This Row],[Country]], crude[Reporter], crude[Quantity], "Not found", 0))</f>
        <v>684475000</v>
      </c>
      <c r="D89" s="4">
        <f>imports[[#This Row],[Crude (kg)]]/(136.4*10^6)</f>
        <v>5.018145161290323</v>
      </c>
      <c r="E89" s="3">
        <f>imports[[#This Row],[Crude (mb/y)]]/365</f>
        <v>1.374834290764472E-2</v>
      </c>
      <c r="F89" s="4">
        <f>VALUE(_xlfn.XLOOKUP(imports[[#This Row],[Country]], refined[Reporter], refined[Quantity], "Not found", 0))</f>
        <v>1082000000</v>
      </c>
      <c r="G89" s="4">
        <f>imports[[#This Row],[Refined (kg)]]/(137*10^6)</f>
        <v>7.8978102189781021</v>
      </c>
      <c r="H89" s="3">
        <f>imports[[#This Row],[Refined (mb/y)]]/365</f>
        <v>2.163783621637836E-2</v>
      </c>
      <c r="I89" s="4">
        <f>imports[[#This Row],[Crude (mb/y)]]+imports[[#This Row],[Refined (mb/y)]]</f>
        <v>12.915955380268425</v>
      </c>
      <c r="J89" s="3">
        <f>imports[[#This Row],[Crude (mb/d)]]+imports[[#This Row],[Refined (mb/d)]]</f>
        <v>3.538617912402308E-2</v>
      </c>
    </row>
    <row r="90" spans="1:10" x14ac:dyDescent="0.2">
      <c r="A90" t="s">
        <v>191</v>
      </c>
      <c r="C90" s="4">
        <f>VALUE(_xlfn.XLOOKUP(imports[[#This Row],[Country]], crude[Reporter], crude[Quantity], "Not found", 0))</f>
        <v>1389080</v>
      </c>
      <c r="D90" s="4">
        <f>imports[[#This Row],[Crude (kg)]]/(136.4*10^6)</f>
        <v>1.0183870967741936E-2</v>
      </c>
      <c r="E90" s="3">
        <f>imports[[#This Row],[Crude (mb/y)]]/365</f>
        <v>2.7901016349977906E-5</v>
      </c>
      <c r="F90" s="4">
        <f>VALUE(_xlfn.XLOOKUP(imports[[#This Row],[Country]], refined[Reporter], refined[Quantity], "Not found", 0))</f>
        <v>1705090000</v>
      </c>
      <c r="G90" s="4">
        <f>imports[[#This Row],[Refined (kg)]]/(137*10^6)</f>
        <v>12.445912408759124</v>
      </c>
      <c r="H90" s="3">
        <f>imports[[#This Row],[Refined (mb/y)]]/365</f>
        <v>3.4098390160983899E-2</v>
      </c>
      <c r="I90" s="4">
        <f>imports[[#This Row],[Crude (mb/y)]]+imports[[#This Row],[Refined (mb/y)]]</f>
        <v>12.456096279726866</v>
      </c>
      <c r="J90" s="3">
        <f>imports[[#This Row],[Crude (mb/d)]]+imports[[#This Row],[Refined (mb/d)]]</f>
        <v>3.412629117733388E-2</v>
      </c>
    </row>
    <row r="91" spans="1:10" x14ac:dyDescent="0.2">
      <c r="A91" t="s">
        <v>206</v>
      </c>
      <c r="C91" s="4">
        <f>VALUE(_xlfn.XLOOKUP(imports[[#This Row],[Country]], crude[Reporter], crude[Quantity], "Not found", 0))</f>
        <v>462298</v>
      </c>
      <c r="D91" s="4">
        <f>imports[[#This Row],[Crude (kg)]]/(136.4*10^6)</f>
        <v>3.3892815249266864E-3</v>
      </c>
      <c r="E91" s="3">
        <f>imports[[#This Row],[Crude (mb/y)]]/365</f>
        <v>9.2857028080183187E-6</v>
      </c>
      <c r="F91" s="4">
        <f>VALUE(_xlfn.XLOOKUP(imports[[#This Row],[Country]], refined[Reporter], refined[Quantity], "Not found", 0))</f>
        <v>1424210000</v>
      </c>
      <c r="G91" s="4">
        <f>imports[[#This Row],[Refined (kg)]]/(137*10^6)</f>
        <v>10.395693430656934</v>
      </c>
      <c r="H91" s="3">
        <f>imports[[#This Row],[Refined (mb/y)]]/365</f>
        <v>2.8481351864813518E-2</v>
      </c>
      <c r="I91" s="4">
        <f>imports[[#This Row],[Crude (mb/y)]]+imports[[#This Row],[Refined (mb/y)]]</f>
        <v>10.39908271218186</v>
      </c>
      <c r="J91" s="3">
        <f>imports[[#This Row],[Crude (mb/d)]]+imports[[#This Row],[Refined (mb/d)]]</f>
        <v>2.8490637567621536E-2</v>
      </c>
    </row>
    <row r="92" spans="1:10" hidden="1" x14ac:dyDescent="0.2">
      <c r="A92" t="s">
        <v>258</v>
      </c>
      <c r="C92" s="1" t="e">
        <f>VALUE(_xlfn.XLOOKUP(imports[[#This Row],[Country]], crude[Reporter], crude[Quantity], "Not found", 0))</f>
        <v>#VALUE!</v>
      </c>
      <c r="D92" s="1" t="e">
        <f>imports[[#This Row],[Crude (kg)]]/(136.4*10^6)</f>
        <v>#VALUE!</v>
      </c>
      <c r="E92" s="1" t="e">
        <f>imports[[#This Row],[Crude (mb/y)]]/365</f>
        <v>#VALUE!</v>
      </c>
      <c r="F92" s="1">
        <f>VALUE(_xlfn.XLOOKUP(imports[[#This Row],[Country]], refined[Reporter], refined[Quantity], "Not found", 0))</f>
        <v>544893000</v>
      </c>
      <c r="G92" s="1">
        <f>imports[[#This Row],[Refined (kg)]]/(137*10^6)</f>
        <v>3.9773211678832117</v>
      </c>
      <c r="H92" s="1">
        <f>imports[[#This Row],[Refined (mb/y)]]/365</f>
        <v>1.0896770322967703E-2</v>
      </c>
      <c r="I92" s="1" t="e">
        <f>imports[[#This Row],[Crude (mb/y)]]+imports[[#This Row],[Refined (mb/y)]]</f>
        <v>#VALUE!</v>
      </c>
      <c r="J92" s="1" t="e">
        <f>imports[[#This Row],[Crude (mb/d)]]+imports[[#This Row],[Refined (mb/d)]]</f>
        <v>#VALUE!</v>
      </c>
    </row>
    <row r="93" spans="1:10" x14ac:dyDescent="0.2">
      <c r="A93" t="s">
        <v>286</v>
      </c>
      <c r="C93" s="4">
        <f>VALUE(_xlfn.XLOOKUP(imports[[#This Row],[Country]], crude[Reporter], crude[Quantity], "Not found", 0))</f>
        <v>12.981</v>
      </c>
      <c r="D93" s="4">
        <f>imports[[#This Row],[Crude (kg)]]/(136.4*10^6)</f>
        <v>9.5168621700879766E-8</v>
      </c>
      <c r="E93" s="3">
        <f>imports[[#This Row],[Crude (mb/y)]]/365</f>
        <v>2.6073594986542399E-10</v>
      </c>
      <c r="F93" s="4">
        <f>VALUE(_xlfn.XLOOKUP(imports[[#This Row],[Country]], refined[Reporter], refined[Quantity], "Not found", 0))</f>
        <v>1235210000</v>
      </c>
      <c r="G93" s="4">
        <f>imports[[#This Row],[Refined (kg)]]/(137*10^6)</f>
        <v>9.0161313868613142</v>
      </c>
      <c r="H93" s="3">
        <f>imports[[#This Row],[Refined (mb/y)]]/365</f>
        <v>2.4701729827017301E-2</v>
      </c>
      <c r="I93" s="4">
        <f>imports[[#This Row],[Crude (mb/y)]]+imports[[#This Row],[Refined (mb/y)]]</f>
        <v>9.0161314820299356</v>
      </c>
      <c r="J93" s="3">
        <f>imports[[#This Row],[Crude (mb/d)]]+imports[[#This Row],[Refined (mb/d)]]</f>
        <v>2.4701730087753251E-2</v>
      </c>
    </row>
    <row r="94" spans="1:10" hidden="1" x14ac:dyDescent="0.2">
      <c r="A94" t="s">
        <v>535</v>
      </c>
      <c r="C94" s="1" t="e">
        <f>VALUE(_xlfn.XLOOKUP(imports[[#This Row],[Country]], crude[Reporter], crude[Quantity], "Not found", 0))</f>
        <v>#VALUE!</v>
      </c>
      <c r="D94" s="1" t="e">
        <f>imports[[#This Row],[Crude (kg)]]/(136.4*10^6)</f>
        <v>#VALUE!</v>
      </c>
      <c r="E94" s="1" t="e">
        <f>imports[[#This Row],[Crude (mb/y)]]/365</f>
        <v>#VALUE!</v>
      </c>
      <c r="F94" s="1">
        <f>VALUE(_xlfn.XLOOKUP(imports[[#This Row],[Country]], refined[Reporter], refined[Quantity], "Not found", 0))</f>
        <v>663956000</v>
      </c>
      <c r="G94" s="1">
        <f>imports[[#This Row],[Refined (kg)]]/(137*10^6)</f>
        <v>4.8463941605839418</v>
      </c>
      <c r="H94" s="1">
        <f>imports[[#This Row],[Refined (mb/y)]]/365</f>
        <v>1.3277792220777922E-2</v>
      </c>
      <c r="I94" s="1" t="e">
        <f>imports[[#This Row],[Crude (mb/y)]]+imports[[#This Row],[Refined (mb/y)]]</f>
        <v>#VALUE!</v>
      </c>
      <c r="J94" s="1" t="e">
        <f>imports[[#This Row],[Crude (mb/d)]]+imports[[#This Row],[Refined (mb/d)]]</f>
        <v>#VALUE!</v>
      </c>
    </row>
    <row r="95" spans="1:10" x14ac:dyDescent="0.2">
      <c r="A95" t="s">
        <v>313</v>
      </c>
      <c r="C95" s="4">
        <f>VALUE(_xlfn.XLOOKUP(imports[[#This Row],[Country]], crude[Reporter], crude[Quantity], "Not found", 0))</f>
        <v>14</v>
      </c>
      <c r="D95" s="4">
        <f>imports[[#This Row],[Crude (kg)]]/(136.4*10^6)</f>
        <v>1.0263929618768328E-7</v>
      </c>
      <c r="E95" s="3">
        <f>imports[[#This Row],[Crude (mb/y)]]/365</f>
        <v>2.8120355119913227E-10</v>
      </c>
      <c r="F95" s="4">
        <f>VALUE(_xlfn.XLOOKUP(imports[[#This Row],[Country]], refined[Reporter], refined[Quantity], "Not found", 0))</f>
        <v>1206550000</v>
      </c>
      <c r="G95" s="4">
        <f>imports[[#This Row],[Refined (kg)]]/(137*10^6)</f>
        <v>8.8069343065693424</v>
      </c>
      <c r="H95" s="3">
        <f>imports[[#This Row],[Refined (mb/y)]]/365</f>
        <v>2.4128587141285868E-2</v>
      </c>
      <c r="I95" s="4">
        <f>imports[[#This Row],[Crude (mb/y)]]+imports[[#This Row],[Refined (mb/y)]]</f>
        <v>8.8069344092086386</v>
      </c>
      <c r="J95" s="3">
        <f>imports[[#This Row],[Crude (mb/d)]]+imports[[#This Row],[Refined (mb/d)]]</f>
        <v>2.4128587422489418E-2</v>
      </c>
    </row>
    <row r="96" spans="1:10" x14ac:dyDescent="0.2">
      <c r="A96" t="s">
        <v>265</v>
      </c>
      <c r="C96" s="4">
        <f>VALUE(_xlfn.XLOOKUP(imports[[#This Row],[Country]], crude[Reporter], crude[Quantity], "Not found", 0))</f>
        <v>418</v>
      </c>
      <c r="D96" s="4">
        <f>imports[[#This Row],[Crude (kg)]]/(136.4*10^6)</f>
        <v>3.064516129032258E-6</v>
      </c>
      <c r="E96" s="3">
        <f>imports[[#This Row],[Crude (mb/y)]]/365</f>
        <v>8.3959346000883778E-9</v>
      </c>
      <c r="F96" s="4">
        <f>VALUE(_xlfn.XLOOKUP(imports[[#This Row],[Country]], refined[Reporter], refined[Quantity], "Not found", 0))</f>
        <v>941406000</v>
      </c>
      <c r="G96" s="4">
        <f>imports[[#This Row],[Refined (kg)]]/(137*10^6)</f>
        <v>6.871576642335766</v>
      </c>
      <c r="H96" s="3">
        <f>imports[[#This Row],[Refined (mb/y)]]/365</f>
        <v>1.8826237376262371E-2</v>
      </c>
      <c r="I96" s="4">
        <f>imports[[#This Row],[Crude (mb/y)]]+imports[[#This Row],[Refined (mb/y)]]</f>
        <v>6.8715797068518949</v>
      </c>
      <c r="J96" s="3">
        <f>imports[[#This Row],[Crude (mb/d)]]+imports[[#This Row],[Refined (mb/d)]]</f>
        <v>1.8826245772196971E-2</v>
      </c>
    </row>
    <row r="97" spans="1:10" x14ac:dyDescent="0.2">
      <c r="A97" t="s">
        <v>200</v>
      </c>
      <c r="C97" s="4">
        <f>VALUE(_xlfn.XLOOKUP(imports[[#This Row],[Country]], crude[Reporter], crude[Quantity], "Not found", 0))</f>
        <v>421910</v>
      </c>
      <c r="D97" s="4">
        <f>imports[[#This Row],[Crude (kg)]]/(136.4*10^6)</f>
        <v>3.0931818181818183E-3</v>
      </c>
      <c r="E97" s="3">
        <f>imports[[#This Row],[Crude (mb/y)]]/365</f>
        <v>8.4744707347447078E-6</v>
      </c>
      <c r="F97" s="4">
        <f>VALUE(_xlfn.XLOOKUP(imports[[#This Row],[Country]], refined[Reporter], refined[Quantity], "Not found", 0))</f>
        <v>489111000</v>
      </c>
      <c r="G97" s="4">
        <f>imports[[#This Row],[Refined (kg)]]/(137*10^6)</f>
        <v>3.5701532846715329</v>
      </c>
      <c r="H97" s="3">
        <f>imports[[#This Row],[Refined (mb/y)]]/365</f>
        <v>9.7812418758124187E-3</v>
      </c>
      <c r="I97" s="4">
        <f>imports[[#This Row],[Crude (mb/y)]]+imports[[#This Row],[Refined (mb/y)]]</f>
        <v>3.5732464664897146</v>
      </c>
      <c r="J97" s="3">
        <f>imports[[#This Row],[Crude (mb/d)]]+imports[[#This Row],[Refined (mb/d)]]</f>
        <v>9.7897163465471629E-3</v>
      </c>
    </row>
    <row r="98" spans="1:10" hidden="1" x14ac:dyDescent="0.2">
      <c r="A98" t="s">
        <v>544</v>
      </c>
      <c r="C98" s="1" t="e">
        <f>VALUE(_xlfn.XLOOKUP(imports[[#This Row],[Country]], crude[Reporter], crude[Quantity], "Not found", 0))</f>
        <v>#VALUE!</v>
      </c>
      <c r="D98" s="1" t="e">
        <f>imports[[#This Row],[Crude (kg)]]/(136.4*10^6)</f>
        <v>#VALUE!</v>
      </c>
      <c r="E98" s="1" t="e">
        <f>imports[[#This Row],[Crude (mb/y)]]/365</f>
        <v>#VALUE!</v>
      </c>
      <c r="F98" s="1">
        <f>VALUE(_xlfn.XLOOKUP(imports[[#This Row],[Country]], refined[Reporter], refined[Quantity], "Not found", 0))</f>
        <v>577695000</v>
      </c>
      <c r="G98" s="1">
        <f>imports[[#This Row],[Refined (kg)]]/(137*10^6)</f>
        <v>4.2167518248175186</v>
      </c>
      <c r="H98" s="1">
        <f>imports[[#This Row],[Refined (mb/y)]]/365</f>
        <v>1.1552744725527449E-2</v>
      </c>
      <c r="I98" s="1" t="e">
        <f>imports[[#This Row],[Crude (mb/y)]]+imports[[#This Row],[Refined (mb/y)]]</f>
        <v>#VALUE!</v>
      </c>
      <c r="J98" s="1" t="e">
        <f>imports[[#This Row],[Crude (mb/d)]]+imports[[#This Row],[Refined (mb/d)]]</f>
        <v>#VALUE!</v>
      </c>
    </row>
    <row r="99" spans="1:10" x14ac:dyDescent="0.2">
      <c r="A99" t="s">
        <v>260</v>
      </c>
      <c r="C99" s="4">
        <f>VALUE(_xlfn.XLOOKUP(imports[[#This Row],[Country]], crude[Reporter], crude[Quantity], "Not found", 0))</f>
        <v>119000</v>
      </c>
      <c r="D99" s="4">
        <f>imports[[#This Row],[Crude (kg)]]/(136.4*10^6)</f>
        <v>8.7243401759530797E-4</v>
      </c>
      <c r="E99" s="3">
        <f>imports[[#This Row],[Crude (mb/y)]]/365</f>
        <v>2.3902301851926247E-6</v>
      </c>
      <c r="F99" s="4">
        <f>VALUE(_xlfn.XLOOKUP(imports[[#This Row],[Country]], refined[Reporter], refined[Quantity], "Not found", 0))</f>
        <v>301742000</v>
      </c>
      <c r="G99" s="4">
        <f>imports[[#This Row],[Refined (kg)]]/(137*10^6)</f>
        <v>2.2024963503649637</v>
      </c>
      <c r="H99" s="3">
        <f>imports[[#This Row],[Refined (mb/y)]]/365</f>
        <v>6.0342365763423663E-3</v>
      </c>
      <c r="I99" s="4">
        <f>imports[[#This Row],[Crude (mb/y)]]+imports[[#This Row],[Refined (mb/y)]]</f>
        <v>2.2033687843825591</v>
      </c>
      <c r="J99" s="3">
        <f>imports[[#This Row],[Crude (mb/d)]]+imports[[#This Row],[Refined (mb/d)]]</f>
        <v>6.0366268065275589E-3</v>
      </c>
    </row>
    <row r="100" spans="1:10" hidden="1" x14ac:dyDescent="0.2">
      <c r="A100" t="s">
        <v>549</v>
      </c>
      <c r="C100" s="1" t="e">
        <f>VALUE(_xlfn.XLOOKUP(imports[[#This Row],[Country]], crude[Reporter], crude[Quantity], "Not found", 0))</f>
        <v>#VALUE!</v>
      </c>
      <c r="D100" s="1" t="e">
        <f>imports[[#This Row],[Crude (kg)]]/(136.4*10^6)</f>
        <v>#VALUE!</v>
      </c>
      <c r="E100" s="1" t="e">
        <f>imports[[#This Row],[Crude (mb/y)]]/365</f>
        <v>#VALUE!</v>
      </c>
      <c r="F100" s="1">
        <f>VALUE(_xlfn.XLOOKUP(imports[[#This Row],[Country]], refined[Reporter], refined[Quantity], "Not found", 0))</f>
        <v>553401000</v>
      </c>
      <c r="G100" s="1">
        <f>imports[[#This Row],[Refined (kg)]]/(137*10^6)</f>
        <v>4.0394233576642335</v>
      </c>
      <c r="H100" s="1">
        <f>imports[[#This Row],[Refined (mb/y)]]/365</f>
        <v>1.1066913308669133E-2</v>
      </c>
      <c r="I100" s="1" t="e">
        <f>imports[[#This Row],[Crude (mb/y)]]+imports[[#This Row],[Refined (mb/y)]]</f>
        <v>#VALUE!</v>
      </c>
      <c r="J100" s="1" t="e">
        <f>imports[[#This Row],[Crude (mb/d)]]+imports[[#This Row],[Refined (mb/d)]]</f>
        <v>#VALUE!</v>
      </c>
    </row>
    <row r="101" spans="1:10" hidden="1" x14ac:dyDescent="0.2">
      <c r="A101" t="s">
        <v>552</v>
      </c>
      <c r="C101" s="1" t="e">
        <f>VALUE(_xlfn.XLOOKUP(imports[[#This Row],[Country]], crude[Reporter], crude[Quantity], "Not found", 0))</f>
        <v>#VALUE!</v>
      </c>
      <c r="D101" s="1" t="e">
        <f>imports[[#This Row],[Crude (kg)]]/(136.4*10^6)</f>
        <v>#VALUE!</v>
      </c>
      <c r="E101" s="1" t="e">
        <f>imports[[#This Row],[Crude (mb/y)]]/365</f>
        <v>#VALUE!</v>
      </c>
      <c r="F101" s="1">
        <f>VALUE(_xlfn.XLOOKUP(imports[[#This Row],[Country]], refined[Reporter], refined[Quantity], "Not found", 0))</f>
        <v>408701000</v>
      </c>
      <c r="G101" s="1">
        <f>imports[[#This Row],[Refined (kg)]]/(137*10^6)</f>
        <v>2.9832189781021898</v>
      </c>
      <c r="H101" s="1">
        <f>imports[[#This Row],[Refined (mb/y)]]/365</f>
        <v>8.1732026797320268E-3</v>
      </c>
      <c r="I101" s="1" t="e">
        <f>imports[[#This Row],[Crude (mb/y)]]+imports[[#This Row],[Refined (mb/y)]]</f>
        <v>#VALUE!</v>
      </c>
      <c r="J101" s="1" t="e">
        <f>imports[[#This Row],[Crude (mb/d)]]+imports[[#This Row],[Refined (mb/d)]]</f>
        <v>#VALUE!</v>
      </c>
    </row>
    <row r="102" spans="1:10" hidden="1" x14ac:dyDescent="0.2">
      <c r="A102" t="s">
        <v>555</v>
      </c>
      <c r="C102" s="1" t="e">
        <f>VALUE(_xlfn.XLOOKUP(imports[[#This Row],[Country]], crude[Reporter], crude[Quantity], "Not found", 0))</f>
        <v>#VALUE!</v>
      </c>
      <c r="D102" s="1" t="e">
        <f>imports[[#This Row],[Crude (kg)]]/(136.4*10^6)</f>
        <v>#VALUE!</v>
      </c>
      <c r="E102" s="1" t="e">
        <f>imports[[#This Row],[Crude (mb/y)]]/365</f>
        <v>#VALUE!</v>
      </c>
      <c r="F102" s="1">
        <f>VALUE(_xlfn.XLOOKUP(imports[[#This Row],[Country]], refined[Reporter], refined[Quantity], "Not found", 0))</f>
        <v>215949000</v>
      </c>
      <c r="G102" s="1">
        <f>imports[[#This Row],[Refined (kg)]]/(137*10^6)</f>
        <v>1.5762700729927008</v>
      </c>
      <c r="H102" s="1">
        <f>imports[[#This Row],[Refined (mb/y)]]/365</f>
        <v>4.3185481451854819E-3</v>
      </c>
      <c r="I102" s="1" t="e">
        <f>imports[[#This Row],[Crude (mb/y)]]+imports[[#This Row],[Refined (mb/y)]]</f>
        <v>#VALUE!</v>
      </c>
      <c r="J102" s="1" t="e">
        <f>imports[[#This Row],[Crude (mb/d)]]+imports[[#This Row],[Refined (mb/d)]]</f>
        <v>#VALUE!</v>
      </c>
    </row>
    <row r="103" spans="1:10" hidden="1" x14ac:dyDescent="0.2">
      <c r="A103" t="s">
        <v>558</v>
      </c>
      <c r="C103" s="1" t="e">
        <f>VALUE(_xlfn.XLOOKUP(imports[[#This Row],[Country]], crude[Reporter], crude[Quantity], "Not found", 0))</f>
        <v>#VALUE!</v>
      </c>
      <c r="D103" s="1" t="e">
        <f>imports[[#This Row],[Crude (kg)]]/(136.4*10^6)</f>
        <v>#VALUE!</v>
      </c>
      <c r="E103" s="1" t="e">
        <f>imports[[#This Row],[Crude (mb/y)]]/365</f>
        <v>#VALUE!</v>
      </c>
      <c r="F103" s="1">
        <f>VALUE(_xlfn.XLOOKUP(imports[[#This Row],[Country]], refined[Reporter], refined[Quantity], "Not found", 0))</f>
        <v>380401000</v>
      </c>
      <c r="G103" s="1">
        <f>imports[[#This Row],[Refined (kg)]]/(137*10^6)</f>
        <v>2.7766496350364962</v>
      </c>
      <c r="H103" s="1">
        <f>imports[[#This Row],[Refined (mb/y)]]/365</f>
        <v>7.6072592740725926E-3</v>
      </c>
      <c r="I103" s="1" t="e">
        <f>imports[[#This Row],[Crude (mb/y)]]+imports[[#This Row],[Refined (mb/y)]]</f>
        <v>#VALUE!</v>
      </c>
      <c r="J103" s="1" t="e">
        <f>imports[[#This Row],[Crude (mb/d)]]+imports[[#This Row],[Refined (mb/d)]]</f>
        <v>#VALUE!</v>
      </c>
    </row>
    <row r="104" spans="1:10" x14ac:dyDescent="0.2">
      <c r="A104" t="s">
        <v>302</v>
      </c>
      <c r="C104" s="4">
        <f>VALUE(_xlfn.XLOOKUP(imports[[#This Row],[Country]], crude[Reporter], crude[Quantity], "Not found", 0))</f>
        <v>120</v>
      </c>
      <c r="D104" s="4">
        <f>imports[[#This Row],[Crude (kg)]]/(136.4*10^6)</f>
        <v>8.7976539589442811E-7</v>
      </c>
      <c r="E104" s="3">
        <f>imports[[#This Row],[Crude (mb/y)]]/365</f>
        <v>2.4103161531354194E-9</v>
      </c>
      <c r="F104" s="4">
        <f>VALUE(_xlfn.XLOOKUP(imports[[#This Row],[Country]], refined[Reporter], refined[Quantity], "Not found", 0))</f>
        <v>265630000</v>
      </c>
      <c r="G104" s="4">
        <f>imports[[#This Row],[Refined (kg)]]/(137*10^6)</f>
        <v>1.938905109489051</v>
      </c>
      <c r="H104" s="3">
        <f>imports[[#This Row],[Refined (mb/y)]]/365</f>
        <v>5.3120687931206877E-3</v>
      </c>
      <c r="I104" s="4">
        <f>imports[[#This Row],[Crude (mb/y)]]+imports[[#This Row],[Refined (mb/y)]]</f>
        <v>1.9389059892544469</v>
      </c>
      <c r="J104" s="3">
        <f>imports[[#This Row],[Crude (mb/d)]]+imports[[#This Row],[Refined (mb/d)]]</f>
        <v>5.312071203436841E-3</v>
      </c>
    </row>
    <row r="105" spans="1:10" hidden="1" x14ac:dyDescent="0.2">
      <c r="A105" t="s">
        <v>563</v>
      </c>
      <c r="C105" s="1" t="e">
        <f>VALUE(_xlfn.XLOOKUP(imports[[#This Row],[Country]], crude[Reporter], crude[Quantity], "Not found", 0))</f>
        <v>#VALUE!</v>
      </c>
      <c r="D105" s="1" t="e">
        <f>imports[[#This Row],[Crude (kg)]]/(136.4*10^6)</f>
        <v>#VALUE!</v>
      </c>
      <c r="E105" s="1" t="e">
        <f>imports[[#This Row],[Crude (mb/y)]]/365</f>
        <v>#VALUE!</v>
      </c>
      <c r="F105" s="1">
        <f>VALUE(_xlfn.XLOOKUP(imports[[#This Row],[Country]], refined[Reporter], refined[Quantity], "Not found", 0))</f>
        <v>222892000</v>
      </c>
      <c r="G105" s="1">
        <f>imports[[#This Row],[Refined (kg)]]/(137*10^6)</f>
        <v>1.626948905109489</v>
      </c>
      <c r="H105" s="1">
        <f>imports[[#This Row],[Refined (mb/y)]]/365</f>
        <v>4.4573942605739426E-3</v>
      </c>
      <c r="I105" s="1" t="e">
        <f>imports[[#This Row],[Crude (mb/y)]]+imports[[#This Row],[Refined (mb/y)]]</f>
        <v>#VALUE!</v>
      </c>
      <c r="J105" s="1" t="e">
        <f>imports[[#This Row],[Crude (mb/d)]]+imports[[#This Row],[Refined (mb/d)]]</f>
        <v>#VALUE!</v>
      </c>
    </row>
    <row r="106" spans="1:10" hidden="1" x14ac:dyDescent="0.2">
      <c r="A106" t="s">
        <v>568</v>
      </c>
      <c r="C106" s="1" t="e">
        <f>VALUE(_xlfn.XLOOKUP(imports[[#This Row],[Country]], crude[Reporter], crude[Quantity], "Not found", 0))</f>
        <v>#VALUE!</v>
      </c>
      <c r="D106" s="1" t="e">
        <f>imports[[#This Row],[Crude (kg)]]/(136.4*10^6)</f>
        <v>#VALUE!</v>
      </c>
      <c r="E106" s="1" t="e">
        <f>imports[[#This Row],[Crude (mb/y)]]/365</f>
        <v>#VALUE!</v>
      </c>
      <c r="F106" s="1">
        <f>VALUE(_xlfn.XLOOKUP(imports[[#This Row],[Country]], refined[Reporter], refined[Quantity], "Not found", 0))</f>
        <v>241966000</v>
      </c>
      <c r="G106" s="1">
        <f>imports[[#This Row],[Refined (kg)]]/(137*10^6)</f>
        <v>1.7661751824817518</v>
      </c>
      <c r="H106" s="1">
        <f>imports[[#This Row],[Refined (mb/y)]]/365</f>
        <v>4.8388361163883608E-3</v>
      </c>
      <c r="I106" s="1" t="e">
        <f>imports[[#This Row],[Crude (mb/y)]]+imports[[#This Row],[Refined (mb/y)]]</f>
        <v>#VALUE!</v>
      </c>
      <c r="J106" s="1" t="e">
        <f>imports[[#This Row],[Crude (mb/d)]]+imports[[#This Row],[Refined (mb/d)]]</f>
        <v>#VALUE!</v>
      </c>
    </row>
    <row r="107" spans="1:10" x14ac:dyDescent="0.2">
      <c r="A107" t="s">
        <v>225</v>
      </c>
      <c r="C107" s="4">
        <f>VALUE(_xlfn.XLOOKUP(imports[[#This Row],[Country]], crude[Reporter], crude[Quantity], "Not found", 0))</f>
        <v>18171.900000000001</v>
      </c>
      <c r="D107" s="4">
        <f>imports[[#This Row],[Crude (kg)]]/(136.4*10^6)</f>
        <v>1.33225073313783E-4</v>
      </c>
      <c r="E107" s="3">
        <f>imports[[#This Row],[Crude (mb/y)]]/365</f>
        <v>3.6500020085967945E-7</v>
      </c>
      <c r="F107" s="4">
        <f>VALUE(_xlfn.XLOOKUP(imports[[#This Row],[Country]], refined[Reporter], refined[Quantity], "Not found", 0))</f>
        <v>253339000</v>
      </c>
      <c r="G107" s="4">
        <f>imports[[#This Row],[Refined (kg)]]/(137*10^6)</f>
        <v>1.8491897810218978</v>
      </c>
      <c r="H107" s="3">
        <f>imports[[#This Row],[Refined (mb/y)]]/365</f>
        <v>5.0662733726627336E-3</v>
      </c>
      <c r="I107" s="4">
        <f>imports[[#This Row],[Crude (mb/y)]]+imports[[#This Row],[Refined (mb/y)]]</f>
        <v>1.8493230060952115</v>
      </c>
      <c r="J107" s="3">
        <f>imports[[#This Row],[Crude (mb/d)]]+imports[[#This Row],[Refined (mb/d)]]</f>
        <v>5.0666383728635933E-3</v>
      </c>
    </row>
    <row r="108" spans="1:10" x14ac:dyDescent="0.2">
      <c r="A108" t="s">
        <v>310</v>
      </c>
      <c r="C108" s="4">
        <f>VALUE(_xlfn.XLOOKUP(imports[[#This Row],[Country]], crude[Reporter], crude[Quantity], "Not found", 0))</f>
        <v>100</v>
      </c>
      <c r="D108" s="4">
        <f>imports[[#This Row],[Crude (kg)]]/(136.4*10^6)</f>
        <v>7.3313782991202348E-7</v>
      </c>
      <c r="E108" s="3">
        <f>imports[[#This Row],[Crude (mb/y)]]/365</f>
        <v>2.0085967942795163E-9</v>
      </c>
      <c r="F108" s="4">
        <f>VALUE(_xlfn.XLOOKUP(imports[[#This Row],[Country]], refined[Reporter], refined[Quantity], "Not found", 0))</f>
        <v>175264000</v>
      </c>
      <c r="G108" s="4">
        <f>imports[[#This Row],[Refined (kg)]]/(137*10^6)</f>
        <v>1.2792992700729926</v>
      </c>
      <c r="H108" s="3">
        <f>imports[[#This Row],[Refined (mb/y)]]/365</f>
        <v>3.5049295070492949E-3</v>
      </c>
      <c r="I108" s="4">
        <f>imports[[#This Row],[Crude (mb/y)]]+imports[[#This Row],[Refined (mb/y)]]</f>
        <v>1.2793000032108226</v>
      </c>
      <c r="J108" s="3">
        <f>imports[[#This Row],[Crude (mb/d)]]+imports[[#This Row],[Refined (mb/d)]]</f>
        <v>3.504931515646089E-3</v>
      </c>
    </row>
    <row r="109" spans="1:10" hidden="1" x14ac:dyDescent="0.2">
      <c r="A109" t="s">
        <v>576</v>
      </c>
      <c r="C109" s="1" t="e">
        <f>VALUE(_xlfn.XLOOKUP(imports[[#This Row],[Country]], crude[Reporter], crude[Quantity], "Not found", 0))</f>
        <v>#VALUE!</v>
      </c>
      <c r="D109" s="1" t="e">
        <f>imports[[#This Row],[Crude (kg)]]/(136.4*10^6)</f>
        <v>#VALUE!</v>
      </c>
      <c r="E109" s="1" t="e">
        <f>imports[[#This Row],[Crude (mb/y)]]/365</f>
        <v>#VALUE!</v>
      </c>
      <c r="F109" s="1">
        <f>VALUE(_xlfn.XLOOKUP(imports[[#This Row],[Country]], refined[Reporter], refined[Quantity], "Not found", 0))</f>
        <v>78083800</v>
      </c>
      <c r="G109" s="1">
        <f>imports[[#This Row],[Refined (kg)]]/(137*10^6)</f>
        <v>0.5699547445255474</v>
      </c>
      <c r="H109" s="1">
        <f>imports[[#This Row],[Refined (mb/y)]]/365</f>
        <v>1.5615198480151984E-3</v>
      </c>
      <c r="I109" s="1" t="e">
        <f>imports[[#This Row],[Crude (mb/y)]]+imports[[#This Row],[Refined (mb/y)]]</f>
        <v>#VALUE!</v>
      </c>
      <c r="J109" s="1" t="e">
        <f>imports[[#This Row],[Crude (mb/d)]]+imports[[#This Row],[Refined (mb/d)]]</f>
        <v>#VALUE!</v>
      </c>
    </row>
    <row r="110" spans="1:10" hidden="1" x14ac:dyDescent="0.2">
      <c r="A110" t="s">
        <v>579</v>
      </c>
      <c r="C110" s="1" t="e">
        <f>VALUE(_xlfn.XLOOKUP(imports[[#This Row],[Country]], crude[Reporter], crude[Quantity], "Not found", 0))</f>
        <v>#VALUE!</v>
      </c>
      <c r="D110" s="1" t="e">
        <f>imports[[#This Row],[Crude (kg)]]/(136.4*10^6)</f>
        <v>#VALUE!</v>
      </c>
      <c r="E110" s="1" t="e">
        <f>imports[[#This Row],[Crude (mb/y)]]/365</f>
        <v>#VALUE!</v>
      </c>
      <c r="F110" s="1">
        <f>VALUE(_xlfn.XLOOKUP(imports[[#This Row],[Country]], refined[Reporter], refined[Quantity], "Not found", 0))</f>
        <v>152301000</v>
      </c>
      <c r="G110" s="1">
        <f>imports[[#This Row],[Refined (kg)]]/(137*10^6)</f>
        <v>1.1116861313868613</v>
      </c>
      <c r="H110" s="1">
        <f>imports[[#This Row],[Refined (mb/y)]]/365</f>
        <v>3.0457154284571544E-3</v>
      </c>
      <c r="I110" s="1" t="e">
        <f>imports[[#This Row],[Crude (mb/y)]]+imports[[#This Row],[Refined (mb/y)]]</f>
        <v>#VALUE!</v>
      </c>
      <c r="J110" s="1" t="e">
        <f>imports[[#This Row],[Crude (mb/d)]]+imports[[#This Row],[Refined (mb/d)]]</f>
        <v>#VALUE!</v>
      </c>
    </row>
    <row r="111" spans="1:10" x14ac:dyDescent="0.2">
      <c r="A111" t="s">
        <v>299</v>
      </c>
      <c r="C111" s="4">
        <f>VALUE(_xlfn.XLOOKUP(imports[[#This Row],[Country]], crude[Reporter], crude[Quantity], "Not found", 0))</f>
        <v>75</v>
      </c>
      <c r="D111" s="4">
        <f>imports[[#This Row],[Crude (kg)]]/(136.4*10^6)</f>
        <v>5.4985337243401764E-7</v>
      </c>
      <c r="E111" s="3">
        <f>imports[[#This Row],[Crude (mb/y)]]/365</f>
        <v>1.5064475957096375E-9</v>
      </c>
      <c r="F111" s="4">
        <f>VALUE(_xlfn.XLOOKUP(imports[[#This Row],[Country]], refined[Reporter], refined[Quantity], "Not found", 0))</f>
        <v>159864000</v>
      </c>
      <c r="G111" s="4">
        <f>imports[[#This Row],[Refined (kg)]]/(137*10^6)</f>
        <v>1.1668905109489052</v>
      </c>
      <c r="H111" s="3">
        <f>imports[[#This Row],[Refined (mb/y)]]/365</f>
        <v>3.1969603039696034E-3</v>
      </c>
      <c r="I111" s="4">
        <f>imports[[#This Row],[Crude (mb/y)]]+imports[[#This Row],[Refined (mb/y)]]</f>
        <v>1.1668910608022776</v>
      </c>
      <c r="J111" s="3">
        <f>imports[[#This Row],[Crude (mb/d)]]+imports[[#This Row],[Refined (mb/d)]]</f>
        <v>3.196961810417199E-3</v>
      </c>
    </row>
    <row r="112" spans="1:10" x14ac:dyDescent="0.2">
      <c r="A112" t="s">
        <v>280</v>
      </c>
      <c r="C112" s="4">
        <f>VALUE(_xlfn.XLOOKUP(imports[[#This Row],[Country]], crude[Reporter], crude[Quantity], "Not found", 0))</f>
        <v>148.88</v>
      </c>
      <c r="D112" s="4">
        <f>imports[[#This Row],[Crude (kg)]]/(136.4*10^6)</f>
        <v>1.0914956011730205E-6</v>
      </c>
      <c r="E112" s="3">
        <f>imports[[#This Row],[Crude (mb/y)]]/365</f>
        <v>2.9903989073233439E-9</v>
      </c>
      <c r="F112" s="4">
        <f>VALUE(_xlfn.XLOOKUP(imports[[#This Row],[Country]], refined[Reporter], refined[Quantity], "Not found", 0))</f>
        <v>69980400</v>
      </c>
      <c r="G112" s="4">
        <f>imports[[#This Row],[Refined (kg)]]/(137*10^6)</f>
        <v>0.51080583941605839</v>
      </c>
      <c r="H112" s="3">
        <f>imports[[#This Row],[Refined (mb/y)]]/365</f>
        <v>1.3994680531946805E-3</v>
      </c>
      <c r="I112" s="4">
        <f>imports[[#This Row],[Crude (mb/y)]]+imports[[#This Row],[Refined (mb/y)]]</f>
        <v>0.51080693091165952</v>
      </c>
      <c r="J112" s="3">
        <f>imports[[#This Row],[Crude (mb/d)]]+imports[[#This Row],[Refined (mb/d)]]</f>
        <v>1.3994710435935877E-3</v>
      </c>
    </row>
    <row r="113" spans="1:10" hidden="1" x14ac:dyDescent="0.2">
      <c r="A113" t="s">
        <v>587</v>
      </c>
      <c r="C113" s="1" t="e">
        <f>VALUE(_xlfn.XLOOKUP(imports[[#This Row],[Country]], crude[Reporter], crude[Quantity], "Not found", 0))</f>
        <v>#VALUE!</v>
      </c>
      <c r="D113" s="1" t="e">
        <f>imports[[#This Row],[Crude (kg)]]/(136.4*10^6)</f>
        <v>#VALUE!</v>
      </c>
      <c r="E113" s="1" t="e">
        <f>imports[[#This Row],[Crude (mb/y)]]/365</f>
        <v>#VALUE!</v>
      </c>
      <c r="F113" s="1">
        <f>VALUE(_xlfn.XLOOKUP(imports[[#This Row],[Country]], refined[Reporter], refined[Quantity], "Not found", 0))</f>
        <v>90851400</v>
      </c>
      <c r="G113" s="1">
        <f>imports[[#This Row],[Refined (kg)]]/(137*10^6)</f>
        <v>0.6631489051094891</v>
      </c>
      <c r="H113" s="1">
        <f>imports[[#This Row],[Refined (mb/y)]]/365</f>
        <v>1.8168463153684633E-3</v>
      </c>
      <c r="I113" s="1" t="e">
        <f>imports[[#This Row],[Crude (mb/y)]]+imports[[#This Row],[Refined (mb/y)]]</f>
        <v>#VALUE!</v>
      </c>
      <c r="J113" s="1" t="e">
        <f>imports[[#This Row],[Crude (mb/d)]]+imports[[#This Row],[Refined (mb/d)]]</f>
        <v>#VALUE!</v>
      </c>
    </row>
    <row r="114" spans="1:10" hidden="1" x14ac:dyDescent="0.2">
      <c r="A114" t="s">
        <v>315</v>
      </c>
      <c r="C114" s="1" t="e">
        <f>VALUE(_xlfn.XLOOKUP(imports[[#This Row],[Country]], crude[Reporter], crude[Quantity], "Not found", 0))</f>
        <v>#VALUE!</v>
      </c>
      <c r="D114" s="1" t="e">
        <f>imports[[#This Row],[Crude (kg)]]/(136.4*10^6)</f>
        <v>#VALUE!</v>
      </c>
      <c r="E114" s="1" t="e">
        <f>imports[[#This Row],[Crude (mb/y)]]/365</f>
        <v>#VALUE!</v>
      </c>
      <c r="F114" s="1">
        <f>VALUE(_xlfn.XLOOKUP(imports[[#This Row],[Country]], refined[Reporter], refined[Quantity], "Not found", 0))</f>
        <v>106408000</v>
      </c>
      <c r="G114" s="1">
        <f>imports[[#This Row],[Refined (kg)]]/(137*10^6)</f>
        <v>0.77670072992700734</v>
      </c>
      <c r="H114" s="1">
        <f>imports[[#This Row],[Refined (mb/y)]]/365</f>
        <v>2.1279472052794721E-3</v>
      </c>
      <c r="I114" s="1" t="e">
        <f>imports[[#This Row],[Crude (mb/y)]]+imports[[#This Row],[Refined (mb/y)]]</f>
        <v>#VALUE!</v>
      </c>
      <c r="J114" s="1" t="e">
        <f>imports[[#This Row],[Crude (mb/d)]]+imports[[#This Row],[Refined (mb/d)]]</f>
        <v>#VALUE!</v>
      </c>
    </row>
    <row r="115" spans="1:10" hidden="1" x14ac:dyDescent="0.2">
      <c r="A115" t="s">
        <v>592</v>
      </c>
      <c r="C115" s="1" t="e">
        <f>VALUE(_xlfn.XLOOKUP(imports[[#This Row],[Country]], crude[Reporter], crude[Quantity], "Not found", 0))</f>
        <v>#VALUE!</v>
      </c>
      <c r="D115" s="1" t="e">
        <f>imports[[#This Row],[Crude (kg)]]/(136.4*10^6)</f>
        <v>#VALUE!</v>
      </c>
      <c r="E115" s="1" t="e">
        <f>imports[[#This Row],[Crude (mb/y)]]/365</f>
        <v>#VALUE!</v>
      </c>
      <c r="F115" s="1">
        <f>VALUE(_xlfn.XLOOKUP(imports[[#This Row],[Country]], refined[Reporter], refined[Quantity], "Not found", 0))</f>
        <v>81551400</v>
      </c>
      <c r="G115" s="1">
        <f>imports[[#This Row],[Refined (kg)]]/(137*10^6)</f>
        <v>0.59526569343065694</v>
      </c>
      <c r="H115" s="1">
        <f>imports[[#This Row],[Refined (mb/y)]]/365</f>
        <v>1.6308649135086492E-3</v>
      </c>
      <c r="I115" s="1" t="e">
        <f>imports[[#This Row],[Crude (mb/y)]]+imports[[#This Row],[Refined (mb/y)]]</f>
        <v>#VALUE!</v>
      </c>
      <c r="J115" s="1" t="e">
        <f>imports[[#This Row],[Crude (mb/d)]]+imports[[#This Row],[Refined (mb/d)]]</f>
        <v>#VALUE!</v>
      </c>
    </row>
    <row r="116" spans="1:10" x14ac:dyDescent="0.2">
      <c r="A116" t="s">
        <v>307</v>
      </c>
      <c r="C116" s="4">
        <f>VALUE(_xlfn.XLOOKUP(imports[[#This Row],[Country]], crude[Reporter], crude[Quantity], "Not found", 0))</f>
        <v>82</v>
      </c>
      <c r="D116" s="4">
        <f>imports[[#This Row],[Crude (kg)]]/(136.4*10^6)</f>
        <v>6.0117302052785921E-7</v>
      </c>
      <c r="E116" s="3">
        <f>imports[[#This Row],[Crude (mb/y)]]/365</f>
        <v>1.6470493713092033E-9</v>
      </c>
      <c r="F116" s="4">
        <f>VALUE(_xlfn.XLOOKUP(imports[[#This Row],[Country]], refined[Reporter], refined[Quantity], "Not found", 0))</f>
        <v>30024800</v>
      </c>
      <c r="G116" s="4">
        <f>imports[[#This Row],[Refined (kg)]]/(137*10^6)</f>
        <v>0.21915912408759125</v>
      </c>
      <c r="H116" s="3">
        <f>imports[[#This Row],[Refined (mb/y)]]/365</f>
        <v>6.0043595640435954E-4</v>
      </c>
      <c r="I116" s="4">
        <f>imports[[#This Row],[Crude (mb/y)]]+imports[[#This Row],[Refined (mb/y)]]</f>
        <v>0.21915972526061178</v>
      </c>
      <c r="J116" s="3">
        <f>imports[[#This Row],[Crude (mb/d)]]+imports[[#This Row],[Refined (mb/d)]]</f>
        <v>6.0043760345373088E-4</v>
      </c>
    </row>
    <row r="117" spans="1:10" x14ac:dyDescent="0.2">
      <c r="A117" t="s">
        <v>305</v>
      </c>
      <c r="C117" s="4">
        <f>VALUE(_xlfn.XLOOKUP(imports[[#This Row],[Country]], crude[Reporter], crude[Quantity], "Not found", 0))</f>
        <v>6</v>
      </c>
      <c r="D117" s="4">
        <f>imports[[#This Row],[Crude (kg)]]/(136.4*10^6)</f>
        <v>4.398826979472141E-8</v>
      </c>
      <c r="E117" s="3">
        <f>imports[[#This Row],[Crude (mb/y)]]/365</f>
        <v>1.2051580765677099E-10</v>
      </c>
      <c r="F117" s="4">
        <f>VALUE(_xlfn.XLOOKUP(imports[[#This Row],[Country]], refined[Reporter], refined[Quantity], "Not found", 0))</f>
        <v>7938060</v>
      </c>
      <c r="G117" s="4">
        <f>imports[[#This Row],[Refined (kg)]]/(137*10^6)</f>
        <v>5.7942043795620436E-2</v>
      </c>
      <c r="H117" s="3">
        <f>imports[[#This Row],[Refined (mb/y)]]/365</f>
        <v>1.5874532546745324E-4</v>
      </c>
      <c r="I117" s="4">
        <f>imports[[#This Row],[Crude (mb/y)]]+imports[[#This Row],[Refined (mb/y)]]</f>
        <v>5.7942087783890234E-2</v>
      </c>
      <c r="J117" s="3">
        <f>imports[[#This Row],[Crude (mb/d)]]+imports[[#This Row],[Refined (mb/d)]]</f>
        <v>1.5874544598326089E-4</v>
      </c>
    </row>
    <row r="118" spans="1:10" hidden="1" x14ac:dyDescent="0.2">
      <c r="A118" t="s">
        <v>599</v>
      </c>
      <c r="C118" s="1" t="e">
        <f>VALUE(_xlfn.XLOOKUP(imports[[#This Row],[Country]], crude[Reporter], crude[Quantity], "Not found", 0))</f>
        <v>#VALUE!</v>
      </c>
      <c r="D118" s="1" t="e">
        <f>imports[[#This Row],[Crude (kg)]]/(136.4*10^6)</f>
        <v>#VALUE!</v>
      </c>
      <c r="E118" s="1" t="e">
        <f>imports[[#This Row],[Crude (mb/y)]]/365</f>
        <v>#VALUE!</v>
      </c>
      <c r="F118" s="1">
        <f>VALUE(_xlfn.XLOOKUP(imports[[#This Row],[Country]], refined[Reporter], refined[Quantity], "Not found", 0))</f>
        <v>2039690</v>
      </c>
      <c r="G118" s="1">
        <f>imports[[#This Row],[Refined (kg)]]/(137*10^6)</f>
        <v>1.4888248175182481E-2</v>
      </c>
      <c r="H118" s="1">
        <f>imports[[#This Row],[Refined (mb/y)]]/365</f>
        <v>4.0789721027897211E-5</v>
      </c>
      <c r="I118" s="1" t="e">
        <f>imports[[#This Row],[Crude (mb/y)]]+imports[[#This Row],[Refined (mb/y)]]</f>
        <v>#VALUE!</v>
      </c>
      <c r="J118" s="1" t="e">
        <f>imports[[#This Row],[Crude (mb/d)]]+imports[[#This Row],[Refined (mb/d)]]</f>
        <v>#VALUE!</v>
      </c>
    </row>
    <row r="119" spans="1:10" x14ac:dyDescent="0.2">
      <c r="A119" t="s">
        <v>274</v>
      </c>
      <c r="C119" s="4">
        <f>VALUE(_xlfn.XLOOKUP(imports[[#This Row],[Country]], crude[Reporter], crude[Quantity], "Not found", 0))</f>
        <v>219.91900000000001</v>
      </c>
      <c r="D119" s="4">
        <f>imports[[#This Row],[Crude (kg)]]/(136.4*10^6)</f>
        <v>1.6123093841642229E-6</v>
      </c>
      <c r="E119" s="3">
        <f>imports[[#This Row],[Crude (mb/y)]]/365</f>
        <v>4.41728598401157E-9</v>
      </c>
      <c r="F119" s="4">
        <f>VALUE(_xlfn.XLOOKUP(imports[[#This Row],[Country]], refined[Reporter], refined[Quantity], "Not found", 0))</f>
        <v>919508</v>
      </c>
      <c r="G119" s="4">
        <f>imports[[#This Row],[Refined (kg)]]/(137*10^6)</f>
        <v>6.7117372262773724E-3</v>
      </c>
      <c r="H119" s="3">
        <f>imports[[#This Row],[Refined (mb/y)]]/365</f>
        <v>1.8388321167883213E-5</v>
      </c>
      <c r="I119" s="4">
        <f>imports[[#This Row],[Crude (mb/y)]]+imports[[#This Row],[Refined (mb/y)]]</f>
        <v>6.7133495356615364E-3</v>
      </c>
      <c r="J119" s="3">
        <f>imports[[#This Row],[Crude (mb/d)]]+imports[[#This Row],[Refined (mb/d)]]</f>
        <v>1.8392738453867224E-5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CEFB-6A42-BB43-A42C-D385B3DC8787}">
  <dimension ref="A1:B2"/>
  <sheetViews>
    <sheetView workbookViewId="0">
      <selection activeCell="B8" sqref="B8"/>
    </sheetView>
  </sheetViews>
  <sheetFormatPr baseColWidth="10" defaultRowHeight="16" x14ac:dyDescent="0.2"/>
  <cols>
    <col min="1" max="1" width="15.5" bestFit="1" customWidth="1"/>
  </cols>
  <sheetData>
    <row r="1" spans="1:2" x14ac:dyDescent="0.2">
      <c r="A1" t="s">
        <v>614</v>
      </c>
      <c r="B1" s="2" t="s">
        <v>613</v>
      </c>
    </row>
    <row r="2" spans="1:2" x14ac:dyDescent="0.2">
      <c r="A2" t="s">
        <v>615</v>
      </c>
      <c r="B2" s="2" t="s">
        <v>612</v>
      </c>
    </row>
  </sheetData>
  <hyperlinks>
    <hyperlink ref="B2" r:id="rId1" xr:uid="{C3FF1959-0077-4F44-A770-2F3479D2DCF8}"/>
    <hyperlink ref="B1" r:id="rId2" xr:uid="{7D2BFB97-CD92-FF4A-924F-2922AC3EAC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crude</vt:lpstr>
      <vt:lpstr>refined</vt:lpstr>
      <vt:lpstr>2024 imports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C</dc:creator>
  <cp:lastModifiedBy>R C</cp:lastModifiedBy>
  <dcterms:created xsi:type="dcterms:W3CDTF">2026-05-12T10:54:59Z</dcterms:created>
  <dcterms:modified xsi:type="dcterms:W3CDTF">2026-05-12T12:57:55Z</dcterms:modified>
</cp:coreProperties>
</file>